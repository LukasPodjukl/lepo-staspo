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serverq\sklad\Přesčasy\"/>
    </mc:Choice>
  </mc:AlternateContent>
  <xr:revisionPtr revIDLastSave="0" documentId="8_{59AF6A34-D74A-43EE-850F-94DDDABC1E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lex export" sheetId="1" r:id="rId1"/>
  </sheets>
  <definedNames>
    <definedName name="_xlnm._FilterDatabase" localSheetId="0" hidden="1">'aplex export'!$A$1:$C$98</definedName>
  </definedNames>
  <calcPr calcId="191029"/>
</workbook>
</file>

<file path=xl/calcChain.xml><?xml version="1.0" encoding="utf-8"?>
<calcChain xmlns="http://schemas.openxmlformats.org/spreadsheetml/2006/main">
  <c r="Z102" i="1" l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N83" i="1"/>
  <c r="BM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N66" i="1"/>
  <c r="BM66" i="1"/>
  <c r="BN65" i="1"/>
  <c r="BM65" i="1"/>
  <c r="BN64" i="1"/>
  <c r="BM64" i="1"/>
  <c r="BN63" i="1"/>
  <c r="BM63" i="1"/>
  <c r="BN62" i="1"/>
  <c r="BM62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BN50" i="1"/>
  <c r="BM50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1" i="1"/>
  <c r="BM41" i="1"/>
  <c r="BN40" i="1"/>
  <c r="BM40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3" i="1"/>
  <c r="BM33" i="1"/>
  <c r="BN32" i="1"/>
  <c r="BM32" i="1"/>
  <c r="BN31" i="1"/>
  <c r="BM31" i="1"/>
  <c r="BN30" i="1"/>
  <c r="BM30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19" i="1"/>
  <c r="BM19" i="1"/>
  <c r="BN18" i="1"/>
  <c r="BM18" i="1"/>
  <c r="BN17" i="1"/>
  <c r="BM17" i="1"/>
  <c r="BN16" i="1"/>
  <c r="BM16" i="1"/>
  <c r="BN15" i="1"/>
  <c r="BM15" i="1"/>
  <c r="BN14" i="1"/>
  <c r="BM14" i="1"/>
  <c r="BN13" i="1"/>
  <c r="BM13" i="1"/>
  <c r="BN12" i="1"/>
  <c r="BM12" i="1"/>
  <c r="BN11" i="1"/>
  <c r="BM11" i="1"/>
  <c r="BN10" i="1"/>
  <c r="BM10" i="1"/>
  <c r="BN9" i="1"/>
  <c r="BM9" i="1"/>
  <c r="BN8" i="1"/>
  <c r="BM8" i="1"/>
  <c r="BO8" i="1" s="1"/>
  <c r="BN7" i="1"/>
  <c r="BM7" i="1"/>
  <c r="BN6" i="1"/>
  <c r="BM6" i="1"/>
  <c r="BN5" i="1"/>
  <c r="BM5" i="1"/>
  <c r="BI102" i="1"/>
  <c r="BH102" i="1"/>
  <c r="BI101" i="1"/>
  <c r="BH101" i="1"/>
  <c r="BI100" i="1"/>
  <c r="BH100" i="1"/>
  <c r="BI99" i="1"/>
  <c r="BH99" i="1"/>
  <c r="BI98" i="1"/>
  <c r="BH98" i="1"/>
  <c r="BI97" i="1"/>
  <c r="BH97" i="1"/>
  <c r="BI96" i="1"/>
  <c r="BH96" i="1"/>
  <c r="BI95" i="1"/>
  <c r="BH95" i="1"/>
  <c r="BI94" i="1"/>
  <c r="BH94" i="1"/>
  <c r="BI93" i="1"/>
  <c r="BH93" i="1"/>
  <c r="BI92" i="1"/>
  <c r="BH92" i="1"/>
  <c r="BI91" i="1"/>
  <c r="BH91" i="1"/>
  <c r="BI90" i="1"/>
  <c r="BH90" i="1"/>
  <c r="BI89" i="1"/>
  <c r="BH89" i="1"/>
  <c r="BI88" i="1"/>
  <c r="BH88" i="1"/>
  <c r="BI87" i="1"/>
  <c r="BH87" i="1"/>
  <c r="BI86" i="1"/>
  <c r="BH86" i="1"/>
  <c r="BI85" i="1"/>
  <c r="BH85" i="1"/>
  <c r="BI84" i="1"/>
  <c r="BH84" i="1"/>
  <c r="BI83" i="1"/>
  <c r="BH83" i="1"/>
  <c r="BI82" i="1"/>
  <c r="BH82" i="1"/>
  <c r="BI81" i="1"/>
  <c r="BH81" i="1"/>
  <c r="BI80" i="1"/>
  <c r="BH80" i="1"/>
  <c r="BI79" i="1"/>
  <c r="BH79" i="1"/>
  <c r="BI78" i="1"/>
  <c r="BH78" i="1"/>
  <c r="BI77" i="1"/>
  <c r="BH77" i="1"/>
  <c r="BI76" i="1"/>
  <c r="BH76" i="1"/>
  <c r="BI75" i="1"/>
  <c r="BH75" i="1"/>
  <c r="BI74" i="1"/>
  <c r="BH74" i="1"/>
  <c r="BI73" i="1"/>
  <c r="BH73" i="1"/>
  <c r="BI72" i="1"/>
  <c r="BH72" i="1"/>
  <c r="BI71" i="1"/>
  <c r="BH71" i="1"/>
  <c r="BI70" i="1"/>
  <c r="BH70" i="1"/>
  <c r="BI69" i="1"/>
  <c r="BH69" i="1"/>
  <c r="BI68" i="1"/>
  <c r="BH68" i="1"/>
  <c r="BI67" i="1"/>
  <c r="BH67" i="1"/>
  <c r="BI66" i="1"/>
  <c r="BH66" i="1"/>
  <c r="BI65" i="1"/>
  <c r="BH65" i="1"/>
  <c r="BI64" i="1"/>
  <c r="BH64" i="1"/>
  <c r="BI63" i="1"/>
  <c r="BH63" i="1"/>
  <c r="BI62" i="1"/>
  <c r="BH62" i="1"/>
  <c r="BI61" i="1"/>
  <c r="BH61" i="1"/>
  <c r="BI60" i="1"/>
  <c r="BH60" i="1"/>
  <c r="BI59" i="1"/>
  <c r="BH59" i="1"/>
  <c r="BI58" i="1"/>
  <c r="BH58" i="1"/>
  <c r="BI57" i="1"/>
  <c r="BH57" i="1"/>
  <c r="BI56" i="1"/>
  <c r="BH56" i="1"/>
  <c r="BI55" i="1"/>
  <c r="BH55" i="1"/>
  <c r="BI54" i="1"/>
  <c r="BH54" i="1"/>
  <c r="BI53" i="1"/>
  <c r="BH53" i="1"/>
  <c r="BI52" i="1"/>
  <c r="BH52" i="1"/>
  <c r="BI51" i="1"/>
  <c r="BH51" i="1"/>
  <c r="BI50" i="1"/>
  <c r="BH50" i="1"/>
  <c r="BI49" i="1"/>
  <c r="BH49" i="1"/>
  <c r="BI48" i="1"/>
  <c r="BH48" i="1"/>
  <c r="BI47" i="1"/>
  <c r="BH47" i="1"/>
  <c r="BI46" i="1"/>
  <c r="BH46" i="1"/>
  <c r="BI45" i="1"/>
  <c r="BH45" i="1"/>
  <c r="BI44" i="1"/>
  <c r="BH44" i="1"/>
  <c r="BI43" i="1"/>
  <c r="BH43" i="1"/>
  <c r="BI42" i="1"/>
  <c r="BH42" i="1"/>
  <c r="BI41" i="1"/>
  <c r="BH41" i="1"/>
  <c r="BI40" i="1"/>
  <c r="BH40" i="1"/>
  <c r="BI39" i="1"/>
  <c r="BH39" i="1"/>
  <c r="BI38" i="1"/>
  <c r="BH38" i="1"/>
  <c r="BI37" i="1"/>
  <c r="BH37" i="1"/>
  <c r="BI36" i="1"/>
  <c r="BH36" i="1"/>
  <c r="BI35" i="1"/>
  <c r="BH35" i="1"/>
  <c r="BI34" i="1"/>
  <c r="BH34" i="1"/>
  <c r="BI33" i="1"/>
  <c r="BH33" i="1"/>
  <c r="BI32" i="1"/>
  <c r="BH32" i="1"/>
  <c r="BI31" i="1"/>
  <c r="BH31" i="1"/>
  <c r="BI30" i="1"/>
  <c r="BH30" i="1"/>
  <c r="BI29" i="1"/>
  <c r="BH29" i="1"/>
  <c r="BI28" i="1"/>
  <c r="BH28" i="1"/>
  <c r="BI27" i="1"/>
  <c r="BH27" i="1"/>
  <c r="BI26" i="1"/>
  <c r="BH26" i="1"/>
  <c r="BI25" i="1"/>
  <c r="BH25" i="1"/>
  <c r="BI24" i="1"/>
  <c r="BH24" i="1"/>
  <c r="BI23" i="1"/>
  <c r="BH23" i="1"/>
  <c r="BI22" i="1"/>
  <c r="BH22" i="1"/>
  <c r="BI21" i="1"/>
  <c r="BH21" i="1"/>
  <c r="BI20" i="1"/>
  <c r="BH20" i="1"/>
  <c r="BI19" i="1"/>
  <c r="BH19" i="1"/>
  <c r="BI18" i="1"/>
  <c r="BH18" i="1"/>
  <c r="BI17" i="1"/>
  <c r="BH17" i="1"/>
  <c r="BI16" i="1"/>
  <c r="BH16" i="1"/>
  <c r="BI15" i="1"/>
  <c r="BH15" i="1"/>
  <c r="BI14" i="1"/>
  <c r="BH14" i="1"/>
  <c r="BI13" i="1"/>
  <c r="BH13" i="1"/>
  <c r="BI12" i="1"/>
  <c r="BH12" i="1"/>
  <c r="BI11" i="1"/>
  <c r="BH11" i="1"/>
  <c r="BI10" i="1"/>
  <c r="BH10" i="1"/>
  <c r="BI9" i="1"/>
  <c r="BH9" i="1"/>
  <c r="BJ9" i="1" s="1"/>
  <c r="BI8" i="1"/>
  <c r="BH8" i="1"/>
  <c r="BI7" i="1"/>
  <c r="BH7" i="1"/>
  <c r="BI6" i="1"/>
  <c r="BH6" i="1"/>
  <c r="BI5" i="1"/>
  <c r="BH5" i="1"/>
  <c r="BD102" i="1"/>
  <c r="BC102" i="1"/>
  <c r="BD101" i="1"/>
  <c r="BC101" i="1"/>
  <c r="BD100" i="1"/>
  <c r="BC100" i="1"/>
  <c r="BD99" i="1"/>
  <c r="BC99" i="1"/>
  <c r="BD98" i="1"/>
  <c r="BC98" i="1"/>
  <c r="BD97" i="1"/>
  <c r="BC97" i="1"/>
  <c r="BD96" i="1"/>
  <c r="BC96" i="1"/>
  <c r="BD95" i="1"/>
  <c r="BC95" i="1"/>
  <c r="BD94" i="1"/>
  <c r="BC94" i="1"/>
  <c r="BD93" i="1"/>
  <c r="BC93" i="1"/>
  <c r="BD92" i="1"/>
  <c r="BC92" i="1"/>
  <c r="BD91" i="1"/>
  <c r="BC91" i="1"/>
  <c r="BD90" i="1"/>
  <c r="BC90" i="1"/>
  <c r="BD89" i="1"/>
  <c r="BC89" i="1"/>
  <c r="BD88" i="1"/>
  <c r="BC88" i="1"/>
  <c r="BD87" i="1"/>
  <c r="BC87" i="1"/>
  <c r="BD86" i="1"/>
  <c r="BC86" i="1"/>
  <c r="BD85" i="1"/>
  <c r="BC85" i="1"/>
  <c r="BD84" i="1"/>
  <c r="BC84" i="1"/>
  <c r="BD83" i="1"/>
  <c r="BC83" i="1"/>
  <c r="BD82" i="1"/>
  <c r="BC82" i="1"/>
  <c r="BD81" i="1"/>
  <c r="BC81" i="1"/>
  <c r="BD80" i="1"/>
  <c r="BC80" i="1"/>
  <c r="BD79" i="1"/>
  <c r="BC79" i="1"/>
  <c r="BD78" i="1"/>
  <c r="BC78" i="1"/>
  <c r="BD77" i="1"/>
  <c r="BC77" i="1"/>
  <c r="BD76" i="1"/>
  <c r="BC76" i="1"/>
  <c r="BD75" i="1"/>
  <c r="BC75" i="1"/>
  <c r="BD74" i="1"/>
  <c r="BC74" i="1"/>
  <c r="BD73" i="1"/>
  <c r="BC73" i="1"/>
  <c r="BD72" i="1"/>
  <c r="BC72" i="1"/>
  <c r="BD71" i="1"/>
  <c r="BC71" i="1"/>
  <c r="BD70" i="1"/>
  <c r="BC70" i="1"/>
  <c r="BD69" i="1"/>
  <c r="BC69" i="1"/>
  <c r="BD68" i="1"/>
  <c r="BC68" i="1"/>
  <c r="BD67" i="1"/>
  <c r="BC67" i="1"/>
  <c r="BD66" i="1"/>
  <c r="BC66" i="1"/>
  <c r="BD65" i="1"/>
  <c r="BC65" i="1"/>
  <c r="BD64" i="1"/>
  <c r="BC64" i="1"/>
  <c r="BD63" i="1"/>
  <c r="BC63" i="1"/>
  <c r="BD62" i="1"/>
  <c r="BC62" i="1"/>
  <c r="BD61" i="1"/>
  <c r="BC61" i="1"/>
  <c r="BD60" i="1"/>
  <c r="BC60" i="1"/>
  <c r="BD59" i="1"/>
  <c r="BC59" i="1"/>
  <c r="BD58" i="1"/>
  <c r="BC58" i="1"/>
  <c r="BD57" i="1"/>
  <c r="BC57" i="1"/>
  <c r="BD56" i="1"/>
  <c r="BC56" i="1"/>
  <c r="BD55" i="1"/>
  <c r="BC55" i="1"/>
  <c r="BD54" i="1"/>
  <c r="BC54" i="1"/>
  <c r="BD53" i="1"/>
  <c r="BC53" i="1"/>
  <c r="BD52" i="1"/>
  <c r="BC52" i="1"/>
  <c r="BD51" i="1"/>
  <c r="BC51" i="1"/>
  <c r="BD50" i="1"/>
  <c r="BC50" i="1"/>
  <c r="BD49" i="1"/>
  <c r="BC49" i="1"/>
  <c r="BD48" i="1"/>
  <c r="BC48" i="1"/>
  <c r="BD47" i="1"/>
  <c r="BC47" i="1"/>
  <c r="BD46" i="1"/>
  <c r="BC46" i="1"/>
  <c r="BD45" i="1"/>
  <c r="BC45" i="1"/>
  <c r="BD44" i="1"/>
  <c r="BC44" i="1"/>
  <c r="BD43" i="1"/>
  <c r="BC43" i="1"/>
  <c r="BD42" i="1"/>
  <c r="BC42" i="1"/>
  <c r="BD41" i="1"/>
  <c r="BC41" i="1"/>
  <c r="BD40" i="1"/>
  <c r="BC40" i="1"/>
  <c r="BD39" i="1"/>
  <c r="BC39" i="1"/>
  <c r="BD38" i="1"/>
  <c r="BC38" i="1"/>
  <c r="BD37" i="1"/>
  <c r="BC37" i="1"/>
  <c r="BD36" i="1"/>
  <c r="BC36" i="1"/>
  <c r="BD35" i="1"/>
  <c r="BC35" i="1"/>
  <c r="BD34" i="1"/>
  <c r="BC34" i="1"/>
  <c r="BD33" i="1"/>
  <c r="BC33" i="1"/>
  <c r="BD32" i="1"/>
  <c r="BC32" i="1"/>
  <c r="BD31" i="1"/>
  <c r="BC31" i="1"/>
  <c r="BD30" i="1"/>
  <c r="BC30" i="1"/>
  <c r="BD29" i="1"/>
  <c r="BC29" i="1"/>
  <c r="BD28" i="1"/>
  <c r="BC28" i="1"/>
  <c r="BD27" i="1"/>
  <c r="BC27" i="1"/>
  <c r="BD26" i="1"/>
  <c r="BC26" i="1"/>
  <c r="BD25" i="1"/>
  <c r="BC25" i="1"/>
  <c r="BD24" i="1"/>
  <c r="BC24" i="1"/>
  <c r="BD23" i="1"/>
  <c r="BC23" i="1"/>
  <c r="BD22" i="1"/>
  <c r="BC22" i="1"/>
  <c r="BD21" i="1"/>
  <c r="BC21" i="1"/>
  <c r="BD20" i="1"/>
  <c r="BC20" i="1"/>
  <c r="BD19" i="1"/>
  <c r="BC19" i="1"/>
  <c r="BD18" i="1"/>
  <c r="BC18" i="1"/>
  <c r="BD17" i="1"/>
  <c r="BC17" i="1"/>
  <c r="BD16" i="1"/>
  <c r="BC16" i="1"/>
  <c r="BD15" i="1"/>
  <c r="BC15" i="1"/>
  <c r="BD14" i="1"/>
  <c r="BC14" i="1"/>
  <c r="BD13" i="1"/>
  <c r="BC13" i="1"/>
  <c r="BD12" i="1"/>
  <c r="BC12" i="1"/>
  <c r="BD11" i="1"/>
  <c r="BC11" i="1"/>
  <c r="BD10" i="1"/>
  <c r="BC10" i="1"/>
  <c r="BD9" i="1"/>
  <c r="BC9" i="1"/>
  <c r="BD8" i="1"/>
  <c r="BC8" i="1"/>
  <c r="BD7" i="1"/>
  <c r="BC7" i="1"/>
  <c r="BD6" i="1"/>
  <c r="BC6" i="1"/>
  <c r="BD5" i="1"/>
  <c r="BC5" i="1"/>
  <c r="AY102" i="1"/>
  <c r="AX102" i="1"/>
  <c r="AY101" i="1"/>
  <c r="AX101" i="1"/>
  <c r="AY100" i="1"/>
  <c r="AX100" i="1"/>
  <c r="AY99" i="1"/>
  <c r="AX99" i="1"/>
  <c r="AY98" i="1"/>
  <c r="AX98" i="1"/>
  <c r="AY97" i="1"/>
  <c r="AX97" i="1"/>
  <c r="AY96" i="1"/>
  <c r="AX96" i="1"/>
  <c r="AY95" i="1"/>
  <c r="AX95" i="1"/>
  <c r="AY94" i="1"/>
  <c r="AX94" i="1"/>
  <c r="AY93" i="1"/>
  <c r="AX93" i="1"/>
  <c r="AY92" i="1"/>
  <c r="AX92" i="1"/>
  <c r="AY91" i="1"/>
  <c r="AX91" i="1"/>
  <c r="AY90" i="1"/>
  <c r="AX90" i="1"/>
  <c r="AY89" i="1"/>
  <c r="AX89" i="1"/>
  <c r="AY88" i="1"/>
  <c r="AX88" i="1"/>
  <c r="AY87" i="1"/>
  <c r="AX87" i="1"/>
  <c r="AY86" i="1"/>
  <c r="AX86" i="1"/>
  <c r="AY85" i="1"/>
  <c r="AX85" i="1"/>
  <c r="AY84" i="1"/>
  <c r="AX84" i="1"/>
  <c r="AY83" i="1"/>
  <c r="AX83" i="1"/>
  <c r="AY82" i="1"/>
  <c r="AX82" i="1"/>
  <c r="AY81" i="1"/>
  <c r="AX81" i="1"/>
  <c r="AY80" i="1"/>
  <c r="AX80" i="1"/>
  <c r="AY79" i="1"/>
  <c r="AX79" i="1"/>
  <c r="AY78" i="1"/>
  <c r="AX78" i="1"/>
  <c r="AY77" i="1"/>
  <c r="AX77" i="1"/>
  <c r="AY76" i="1"/>
  <c r="AX76" i="1"/>
  <c r="AY75" i="1"/>
  <c r="AX75" i="1"/>
  <c r="AY74" i="1"/>
  <c r="AX74" i="1"/>
  <c r="AY73" i="1"/>
  <c r="AX73" i="1"/>
  <c r="AY72" i="1"/>
  <c r="AX72" i="1"/>
  <c r="AY71" i="1"/>
  <c r="AX71" i="1"/>
  <c r="AY70" i="1"/>
  <c r="AX70" i="1"/>
  <c r="AY69" i="1"/>
  <c r="AX69" i="1"/>
  <c r="AY68" i="1"/>
  <c r="AX68" i="1"/>
  <c r="AY67" i="1"/>
  <c r="AX67" i="1"/>
  <c r="AY66" i="1"/>
  <c r="AX66" i="1"/>
  <c r="AY65" i="1"/>
  <c r="AX65" i="1"/>
  <c r="AY64" i="1"/>
  <c r="AX64" i="1"/>
  <c r="AY63" i="1"/>
  <c r="AX63" i="1"/>
  <c r="AY62" i="1"/>
  <c r="AX62" i="1"/>
  <c r="AY61" i="1"/>
  <c r="AX61" i="1"/>
  <c r="AY60" i="1"/>
  <c r="AX60" i="1"/>
  <c r="AY59" i="1"/>
  <c r="AX59" i="1"/>
  <c r="AY58" i="1"/>
  <c r="AX58" i="1"/>
  <c r="AY57" i="1"/>
  <c r="AX57" i="1"/>
  <c r="AY56" i="1"/>
  <c r="AX56" i="1"/>
  <c r="AY55" i="1"/>
  <c r="AX55" i="1"/>
  <c r="AY54" i="1"/>
  <c r="AX54" i="1"/>
  <c r="AY53" i="1"/>
  <c r="AX53" i="1"/>
  <c r="AY52" i="1"/>
  <c r="AX52" i="1"/>
  <c r="AY51" i="1"/>
  <c r="AX51" i="1"/>
  <c r="AY50" i="1"/>
  <c r="AX50" i="1"/>
  <c r="AY49" i="1"/>
  <c r="AX49" i="1"/>
  <c r="AY48" i="1"/>
  <c r="AX48" i="1"/>
  <c r="AY47" i="1"/>
  <c r="AX47" i="1"/>
  <c r="AY46" i="1"/>
  <c r="AX46" i="1"/>
  <c r="AY45" i="1"/>
  <c r="AX45" i="1"/>
  <c r="AY44" i="1"/>
  <c r="AX44" i="1"/>
  <c r="AY43" i="1"/>
  <c r="AX43" i="1"/>
  <c r="AY42" i="1"/>
  <c r="AX42" i="1"/>
  <c r="AY41" i="1"/>
  <c r="AX41" i="1"/>
  <c r="AY40" i="1"/>
  <c r="AX40" i="1"/>
  <c r="AY39" i="1"/>
  <c r="AX39" i="1"/>
  <c r="AY38" i="1"/>
  <c r="AX38" i="1"/>
  <c r="AY37" i="1"/>
  <c r="AX37" i="1"/>
  <c r="AY36" i="1"/>
  <c r="AX36" i="1"/>
  <c r="AY35" i="1"/>
  <c r="AX35" i="1"/>
  <c r="AY34" i="1"/>
  <c r="AX34" i="1"/>
  <c r="AY33" i="1"/>
  <c r="AX33" i="1"/>
  <c r="AY32" i="1"/>
  <c r="AX32" i="1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Y5" i="1"/>
  <c r="AX5" i="1"/>
  <c r="AT102" i="1"/>
  <c r="AS102" i="1"/>
  <c r="AT101" i="1"/>
  <c r="AS101" i="1"/>
  <c r="AT100" i="1"/>
  <c r="AS100" i="1"/>
  <c r="AT99" i="1"/>
  <c r="AS99" i="1"/>
  <c r="AT98" i="1"/>
  <c r="AS98" i="1"/>
  <c r="AT97" i="1"/>
  <c r="AS97" i="1"/>
  <c r="AT96" i="1"/>
  <c r="AS96" i="1"/>
  <c r="AT95" i="1"/>
  <c r="AS95" i="1"/>
  <c r="AT94" i="1"/>
  <c r="AS94" i="1"/>
  <c r="AT93" i="1"/>
  <c r="AS93" i="1"/>
  <c r="AT92" i="1"/>
  <c r="AS92" i="1"/>
  <c r="AT91" i="1"/>
  <c r="AS91" i="1"/>
  <c r="AT90" i="1"/>
  <c r="AS90" i="1"/>
  <c r="AT89" i="1"/>
  <c r="AS89" i="1"/>
  <c r="AT88" i="1"/>
  <c r="AS88" i="1"/>
  <c r="AT87" i="1"/>
  <c r="AS87" i="1"/>
  <c r="AT86" i="1"/>
  <c r="AS86" i="1"/>
  <c r="AT85" i="1"/>
  <c r="AS85" i="1"/>
  <c r="AT84" i="1"/>
  <c r="AS84" i="1"/>
  <c r="AT83" i="1"/>
  <c r="AS83" i="1"/>
  <c r="AT82" i="1"/>
  <c r="AS82" i="1"/>
  <c r="AT81" i="1"/>
  <c r="AS81" i="1"/>
  <c r="AT80" i="1"/>
  <c r="AS80" i="1"/>
  <c r="AT79" i="1"/>
  <c r="AS79" i="1"/>
  <c r="AT78" i="1"/>
  <c r="AS78" i="1"/>
  <c r="AT77" i="1"/>
  <c r="AS77" i="1"/>
  <c r="AT76" i="1"/>
  <c r="AS76" i="1"/>
  <c r="AT75" i="1"/>
  <c r="AS75" i="1"/>
  <c r="AT74" i="1"/>
  <c r="AS74" i="1"/>
  <c r="AT73" i="1"/>
  <c r="AS73" i="1"/>
  <c r="AT72" i="1"/>
  <c r="AS72" i="1"/>
  <c r="AT71" i="1"/>
  <c r="AS71" i="1"/>
  <c r="AT70" i="1"/>
  <c r="AS70" i="1"/>
  <c r="AT69" i="1"/>
  <c r="AS69" i="1"/>
  <c r="AT68" i="1"/>
  <c r="AS68" i="1"/>
  <c r="AT67" i="1"/>
  <c r="AS67" i="1"/>
  <c r="AT66" i="1"/>
  <c r="AS66" i="1"/>
  <c r="AT65" i="1"/>
  <c r="AS65" i="1"/>
  <c r="AT64" i="1"/>
  <c r="AS64" i="1"/>
  <c r="AT63" i="1"/>
  <c r="AS63" i="1"/>
  <c r="AT62" i="1"/>
  <c r="AS62" i="1"/>
  <c r="AT61" i="1"/>
  <c r="AS61" i="1"/>
  <c r="AT60" i="1"/>
  <c r="AS60" i="1"/>
  <c r="AT59" i="1"/>
  <c r="AS59" i="1"/>
  <c r="AT58" i="1"/>
  <c r="AS58" i="1"/>
  <c r="AT57" i="1"/>
  <c r="AS57" i="1"/>
  <c r="AT56" i="1"/>
  <c r="AS56" i="1"/>
  <c r="AT55" i="1"/>
  <c r="AS55" i="1"/>
  <c r="AT54" i="1"/>
  <c r="AS54" i="1"/>
  <c r="AT53" i="1"/>
  <c r="AS53" i="1"/>
  <c r="AT52" i="1"/>
  <c r="AS52" i="1"/>
  <c r="AT51" i="1"/>
  <c r="AS51" i="1"/>
  <c r="AT50" i="1"/>
  <c r="AS50" i="1"/>
  <c r="AT49" i="1"/>
  <c r="AS49" i="1"/>
  <c r="AT48" i="1"/>
  <c r="AS48" i="1"/>
  <c r="AT47" i="1"/>
  <c r="AS47" i="1"/>
  <c r="AT46" i="1"/>
  <c r="AS46" i="1"/>
  <c r="AT45" i="1"/>
  <c r="AS45" i="1"/>
  <c r="AT44" i="1"/>
  <c r="AS44" i="1"/>
  <c r="AT43" i="1"/>
  <c r="AS43" i="1"/>
  <c r="AT42" i="1"/>
  <c r="AS42" i="1"/>
  <c r="AT41" i="1"/>
  <c r="AS41" i="1"/>
  <c r="AT40" i="1"/>
  <c r="AS40" i="1"/>
  <c r="AT39" i="1"/>
  <c r="AS39" i="1"/>
  <c r="AT38" i="1"/>
  <c r="AS38" i="1"/>
  <c r="AT37" i="1"/>
  <c r="AS37" i="1"/>
  <c r="AT36" i="1"/>
  <c r="AS36" i="1"/>
  <c r="AT35" i="1"/>
  <c r="AS35" i="1"/>
  <c r="AT34" i="1"/>
  <c r="AS34" i="1"/>
  <c r="AT33" i="1"/>
  <c r="AS33" i="1"/>
  <c r="AT32" i="1"/>
  <c r="AS32" i="1"/>
  <c r="AT31" i="1"/>
  <c r="AS31" i="1"/>
  <c r="AT30" i="1"/>
  <c r="AS30" i="1"/>
  <c r="AT29" i="1"/>
  <c r="AS29" i="1"/>
  <c r="AT28" i="1"/>
  <c r="AS28" i="1"/>
  <c r="AT27" i="1"/>
  <c r="AS27" i="1"/>
  <c r="AU27" i="1" s="1"/>
  <c r="AT26" i="1"/>
  <c r="AS26" i="1"/>
  <c r="AT25" i="1"/>
  <c r="AS25" i="1"/>
  <c r="AT24" i="1"/>
  <c r="AS24" i="1"/>
  <c r="AT23" i="1"/>
  <c r="AS23" i="1"/>
  <c r="AT22" i="1"/>
  <c r="AS22" i="1"/>
  <c r="AT21" i="1"/>
  <c r="AS21" i="1"/>
  <c r="AT20" i="1"/>
  <c r="AS20" i="1"/>
  <c r="AT19" i="1"/>
  <c r="AS19" i="1"/>
  <c r="AT18" i="1"/>
  <c r="AS18" i="1"/>
  <c r="AT17" i="1"/>
  <c r="AS17" i="1"/>
  <c r="AT16" i="1"/>
  <c r="AS16" i="1"/>
  <c r="AT15" i="1"/>
  <c r="AS15" i="1"/>
  <c r="AT14" i="1"/>
  <c r="AS14" i="1"/>
  <c r="AT13" i="1"/>
  <c r="AS13" i="1"/>
  <c r="AT12" i="1"/>
  <c r="AS12" i="1"/>
  <c r="AT11" i="1"/>
  <c r="AS11" i="1"/>
  <c r="AT10" i="1"/>
  <c r="AS10" i="1"/>
  <c r="AT9" i="1"/>
  <c r="AS9" i="1"/>
  <c r="AT8" i="1"/>
  <c r="AS8" i="1"/>
  <c r="AT7" i="1"/>
  <c r="AS7" i="1"/>
  <c r="AT6" i="1"/>
  <c r="AS6" i="1"/>
  <c r="AT5" i="1"/>
  <c r="AS5" i="1"/>
  <c r="AO102" i="1"/>
  <c r="AN102" i="1"/>
  <c r="AO101" i="1"/>
  <c r="AN101" i="1"/>
  <c r="AO100" i="1"/>
  <c r="AN100" i="1"/>
  <c r="AO99" i="1"/>
  <c r="AN99" i="1"/>
  <c r="AO98" i="1"/>
  <c r="AN98" i="1"/>
  <c r="AO97" i="1"/>
  <c r="AN97" i="1"/>
  <c r="AO96" i="1"/>
  <c r="AN96" i="1"/>
  <c r="AO95" i="1"/>
  <c r="AN95" i="1"/>
  <c r="AO94" i="1"/>
  <c r="AN94" i="1"/>
  <c r="AO93" i="1"/>
  <c r="AN93" i="1"/>
  <c r="AO92" i="1"/>
  <c r="AN92" i="1"/>
  <c r="AO91" i="1"/>
  <c r="AN91" i="1"/>
  <c r="AO90" i="1"/>
  <c r="AN90" i="1"/>
  <c r="AO89" i="1"/>
  <c r="AN89" i="1"/>
  <c r="AP89" i="1" s="1"/>
  <c r="AO88" i="1"/>
  <c r="AN88" i="1"/>
  <c r="AO87" i="1"/>
  <c r="AN87" i="1"/>
  <c r="AO86" i="1"/>
  <c r="AN86" i="1"/>
  <c r="AO85" i="1"/>
  <c r="AN85" i="1"/>
  <c r="AO84" i="1"/>
  <c r="AN84" i="1"/>
  <c r="AO83" i="1"/>
  <c r="AN83" i="1"/>
  <c r="AO82" i="1"/>
  <c r="AN82" i="1"/>
  <c r="AO81" i="1"/>
  <c r="AN81" i="1"/>
  <c r="AO80" i="1"/>
  <c r="AN80" i="1"/>
  <c r="AO79" i="1"/>
  <c r="AN79" i="1"/>
  <c r="AO78" i="1"/>
  <c r="AN78" i="1"/>
  <c r="AO77" i="1"/>
  <c r="AN77" i="1"/>
  <c r="AO76" i="1"/>
  <c r="AN76" i="1"/>
  <c r="AO75" i="1"/>
  <c r="AN75" i="1"/>
  <c r="AO74" i="1"/>
  <c r="AN74" i="1"/>
  <c r="AO73" i="1"/>
  <c r="AN73" i="1"/>
  <c r="AO72" i="1"/>
  <c r="AN72" i="1"/>
  <c r="AO71" i="1"/>
  <c r="AN71" i="1"/>
  <c r="AO70" i="1"/>
  <c r="AN70" i="1"/>
  <c r="AO69" i="1"/>
  <c r="AN69" i="1"/>
  <c r="AO68" i="1"/>
  <c r="AN68" i="1"/>
  <c r="AO67" i="1"/>
  <c r="AN67" i="1"/>
  <c r="AO66" i="1"/>
  <c r="AN66" i="1"/>
  <c r="AO65" i="1"/>
  <c r="AN65" i="1"/>
  <c r="AO64" i="1"/>
  <c r="AN64" i="1"/>
  <c r="AO63" i="1"/>
  <c r="AN63" i="1"/>
  <c r="AO62" i="1"/>
  <c r="AN62" i="1"/>
  <c r="AO61" i="1"/>
  <c r="AN61" i="1"/>
  <c r="AO60" i="1"/>
  <c r="AN60" i="1"/>
  <c r="AO59" i="1"/>
  <c r="AN59" i="1"/>
  <c r="AO58" i="1"/>
  <c r="AN58" i="1"/>
  <c r="AO57" i="1"/>
  <c r="AN57" i="1"/>
  <c r="AO56" i="1"/>
  <c r="AN56" i="1"/>
  <c r="AO55" i="1"/>
  <c r="AN55" i="1"/>
  <c r="AO54" i="1"/>
  <c r="AN54" i="1"/>
  <c r="AO53" i="1"/>
  <c r="AN53" i="1"/>
  <c r="AO52" i="1"/>
  <c r="AN52" i="1"/>
  <c r="AO51" i="1"/>
  <c r="AN51" i="1"/>
  <c r="AO50" i="1"/>
  <c r="AN50" i="1"/>
  <c r="AO49" i="1"/>
  <c r="AN49" i="1"/>
  <c r="AO48" i="1"/>
  <c r="AN48" i="1"/>
  <c r="AO47" i="1"/>
  <c r="AN47" i="1"/>
  <c r="AO46" i="1"/>
  <c r="AN46" i="1"/>
  <c r="AO45" i="1"/>
  <c r="AN45" i="1"/>
  <c r="AO44" i="1"/>
  <c r="AN44" i="1"/>
  <c r="AO43" i="1"/>
  <c r="AN43" i="1"/>
  <c r="AO42" i="1"/>
  <c r="AN42" i="1"/>
  <c r="AO41" i="1"/>
  <c r="AN41" i="1"/>
  <c r="AO40" i="1"/>
  <c r="AN40" i="1"/>
  <c r="AO39" i="1"/>
  <c r="AN39" i="1"/>
  <c r="AO38" i="1"/>
  <c r="AN38" i="1"/>
  <c r="AO37" i="1"/>
  <c r="AN37" i="1"/>
  <c r="AO36" i="1"/>
  <c r="AN36" i="1"/>
  <c r="AO35" i="1"/>
  <c r="AN35" i="1"/>
  <c r="AO34" i="1"/>
  <c r="AN34" i="1"/>
  <c r="AO33" i="1"/>
  <c r="AN33" i="1"/>
  <c r="AO32" i="1"/>
  <c r="AN32" i="1"/>
  <c r="AO31" i="1"/>
  <c r="AN31" i="1"/>
  <c r="AO30" i="1"/>
  <c r="AN30" i="1"/>
  <c r="AO29" i="1"/>
  <c r="AN29" i="1"/>
  <c r="AO28" i="1"/>
  <c r="AN28" i="1"/>
  <c r="AO27" i="1"/>
  <c r="AN27" i="1"/>
  <c r="AO26" i="1"/>
  <c r="AN26" i="1"/>
  <c r="AO25" i="1"/>
  <c r="AN25" i="1"/>
  <c r="AO24" i="1"/>
  <c r="AN24" i="1"/>
  <c r="AO23" i="1"/>
  <c r="AN23" i="1"/>
  <c r="AO22" i="1"/>
  <c r="AN22" i="1"/>
  <c r="AO21" i="1"/>
  <c r="AN21" i="1"/>
  <c r="AO20" i="1"/>
  <c r="AN20" i="1"/>
  <c r="AO19" i="1"/>
  <c r="AN19" i="1"/>
  <c r="AO18" i="1"/>
  <c r="AN18" i="1"/>
  <c r="AO17" i="1"/>
  <c r="AN17" i="1"/>
  <c r="AO16" i="1"/>
  <c r="AN16" i="1"/>
  <c r="AO15" i="1"/>
  <c r="AN15" i="1"/>
  <c r="AO14" i="1"/>
  <c r="AN14" i="1"/>
  <c r="AO13" i="1"/>
  <c r="AN13" i="1"/>
  <c r="AO12" i="1"/>
  <c r="AN12" i="1"/>
  <c r="AO11" i="1"/>
  <c r="AN11" i="1"/>
  <c r="AO10" i="1"/>
  <c r="AN10" i="1"/>
  <c r="AO9" i="1"/>
  <c r="AN9" i="1"/>
  <c r="AO8" i="1"/>
  <c r="AN8" i="1"/>
  <c r="AO7" i="1"/>
  <c r="AN7" i="1"/>
  <c r="AO6" i="1"/>
  <c r="AN6" i="1"/>
  <c r="AO5" i="1"/>
  <c r="AN5" i="1"/>
  <c r="AI102" i="1"/>
  <c r="AH102" i="1"/>
  <c r="AI101" i="1"/>
  <c r="AH101" i="1"/>
  <c r="AI100" i="1"/>
  <c r="AH100" i="1"/>
  <c r="AI99" i="1"/>
  <c r="AH99" i="1"/>
  <c r="AI98" i="1"/>
  <c r="AH98" i="1"/>
  <c r="AI97" i="1"/>
  <c r="AH97" i="1"/>
  <c r="AI96" i="1"/>
  <c r="AH96" i="1"/>
  <c r="AI95" i="1"/>
  <c r="AH95" i="1"/>
  <c r="AI94" i="1"/>
  <c r="AH94" i="1"/>
  <c r="AI93" i="1"/>
  <c r="AH93" i="1"/>
  <c r="AI92" i="1"/>
  <c r="AH92" i="1"/>
  <c r="AI91" i="1"/>
  <c r="AH91" i="1"/>
  <c r="AI90" i="1"/>
  <c r="AH90" i="1"/>
  <c r="AI89" i="1"/>
  <c r="AH89" i="1"/>
  <c r="AI88" i="1"/>
  <c r="AH88" i="1"/>
  <c r="AI87" i="1"/>
  <c r="AH87" i="1"/>
  <c r="AI86" i="1"/>
  <c r="AH86" i="1"/>
  <c r="AI85" i="1"/>
  <c r="AH85" i="1"/>
  <c r="AI84" i="1"/>
  <c r="AH84" i="1"/>
  <c r="AI83" i="1"/>
  <c r="AH83" i="1"/>
  <c r="AI82" i="1"/>
  <c r="AH82" i="1"/>
  <c r="AI81" i="1"/>
  <c r="AH81" i="1"/>
  <c r="AI80" i="1"/>
  <c r="AH80" i="1"/>
  <c r="AI79" i="1"/>
  <c r="AH79" i="1"/>
  <c r="AI78" i="1"/>
  <c r="AH78" i="1"/>
  <c r="AI77" i="1"/>
  <c r="AH77" i="1"/>
  <c r="AI76" i="1"/>
  <c r="AH76" i="1"/>
  <c r="AI75" i="1"/>
  <c r="AH75" i="1"/>
  <c r="AI74" i="1"/>
  <c r="AH74" i="1"/>
  <c r="AI73" i="1"/>
  <c r="AH73" i="1"/>
  <c r="AI72" i="1"/>
  <c r="AH72" i="1"/>
  <c r="AI71" i="1"/>
  <c r="AH71" i="1"/>
  <c r="AI70" i="1"/>
  <c r="AH70" i="1"/>
  <c r="AI69" i="1"/>
  <c r="AH69" i="1"/>
  <c r="AI68" i="1"/>
  <c r="AH68" i="1"/>
  <c r="AI67" i="1"/>
  <c r="AH67" i="1"/>
  <c r="AI66" i="1"/>
  <c r="AH66" i="1"/>
  <c r="AI65" i="1"/>
  <c r="AH65" i="1"/>
  <c r="AI64" i="1"/>
  <c r="AH64" i="1"/>
  <c r="AI63" i="1"/>
  <c r="AH63" i="1"/>
  <c r="AI62" i="1"/>
  <c r="AH62" i="1"/>
  <c r="AI61" i="1"/>
  <c r="AH61" i="1"/>
  <c r="AI60" i="1"/>
  <c r="AH60" i="1"/>
  <c r="AI59" i="1"/>
  <c r="AH59" i="1"/>
  <c r="AI58" i="1"/>
  <c r="AH58" i="1"/>
  <c r="AI57" i="1"/>
  <c r="AH57" i="1"/>
  <c r="AI56" i="1"/>
  <c r="AH56" i="1"/>
  <c r="AI55" i="1"/>
  <c r="AH55" i="1"/>
  <c r="AI54" i="1"/>
  <c r="AH54" i="1"/>
  <c r="AI53" i="1"/>
  <c r="AH53" i="1"/>
  <c r="AI52" i="1"/>
  <c r="AH52" i="1"/>
  <c r="AI51" i="1"/>
  <c r="AH51" i="1"/>
  <c r="AI50" i="1"/>
  <c r="AH50" i="1"/>
  <c r="AI49" i="1"/>
  <c r="AH49" i="1"/>
  <c r="AI48" i="1"/>
  <c r="AH48" i="1"/>
  <c r="AI47" i="1"/>
  <c r="AH47" i="1"/>
  <c r="AI46" i="1"/>
  <c r="AH46" i="1"/>
  <c r="AI45" i="1"/>
  <c r="AH45" i="1"/>
  <c r="AI44" i="1"/>
  <c r="AH44" i="1"/>
  <c r="AI43" i="1"/>
  <c r="AH43" i="1"/>
  <c r="AI42" i="1"/>
  <c r="AH42" i="1"/>
  <c r="AI41" i="1"/>
  <c r="AH41" i="1"/>
  <c r="AI40" i="1"/>
  <c r="AH40" i="1"/>
  <c r="AI39" i="1"/>
  <c r="AH39" i="1"/>
  <c r="AI38" i="1"/>
  <c r="AH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I23" i="1"/>
  <c r="AH23" i="1"/>
  <c r="AI22" i="1"/>
  <c r="AH22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I10" i="1"/>
  <c r="AH10" i="1"/>
  <c r="AI9" i="1"/>
  <c r="AH9" i="1"/>
  <c r="AI8" i="1"/>
  <c r="AH8" i="1"/>
  <c r="AI7" i="1"/>
  <c r="AH7" i="1"/>
  <c r="AI6" i="1"/>
  <c r="AH6" i="1"/>
  <c r="AI5" i="1"/>
  <c r="AH5" i="1"/>
  <c r="AD102" i="1"/>
  <c r="AC102" i="1"/>
  <c r="AD101" i="1"/>
  <c r="AC101" i="1"/>
  <c r="AD100" i="1"/>
  <c r="AC100" i="1"/>
  <c r="AD99" i="1"/>
  <c r="AC99" i="1"/>
  <c r="AD98" i="1"/>
  <c r="AC98" i="1"/>
  <c r="AD97" i="1"/>
  <c r="AC97" i="1"/>
  <c r="AD96" i="1"/>
  <c r="AC96" i="1"/>
  <c r="AD95" i="1"/>
  <c r="AC95" i="1"/>
  <c r="AD94" i="1"/>
  <c r="AC94" i="1"/>
  <c r="AD93" i="1"/>
  <c r="AC93" i="1"/>
  <c r="AD92" i="1"/>
  <c r="AC92" i="1"/>
  <c r="AD91" i="1"/>
  <c r="AC91" i="1"/>
  <c r="AD90" i="1"/>
  <c r="AC90" i="1"/>
  <c r="AD89" i="1"/>
  <c r="AC89" i="1"/>
  <c r="AD88" i="1"/>
  <c r="AC88" i="1"/>
  <c r="AD87" i="1"/>
  <c r="AC87" i="1"/>
  <c r="AD86" i="1"/>
  <c r="AC86" i="1"/>
  <c r="AD85" i="1"/>
  <c r="AC85" i="1"/>
  <c r="AD84" i="1"/>
  <c r="AC84" i="1"/>
  <c r="AD83" i="1"/>
  <c r="AC83" i="1"/>
  <c r="AD82" i="1"/>
  <c r="AC82" i="1"/>
  <c r="AD81" i="1"/>
  <c r="AC81" i="1"/>
  <c r="AD80" i="1"/>
  <c r="AC80" i="1"/>
  <c r="AD79" i="1"/>
  <c r="AC79" i="1"/>
  <c r="AD78" i="1"/>
  <c r="AC78" i="1"/>
  <c r="AD77" i="1"/>
  <c r="AC77" i="1"/>
  <c r="AD76" i="1"/>
  <c r="AC76" i="1"/>
  <c r="AD75" i="1"/>
  <c r="AC75" i="1"/>
  <c r="AD74" i="1"/>
  <c r="AC74" i="1"/>
  <c r="AD73" i="1"/>
  <c r="AC73" i="1"/>
  <c r="AD72" i="1"/>
  <c r="AC72" i="1"/>
  <c r="AD71" i="1"/>
  <c r="AC71" i="1"/>
  <c r="AD70" i="1"/>
  <c r="AC70" i="1"/>
  <c r="AD69" i="1"/>
  <c r="AC69" i="1"/>
  <c r="AD68" i="1"/>
  <c r="AC68" i="1"/>
  <c r="AD67" i="1"/>
  <c r="AC67" i="1"/>
  <c r="AD66" i="1"/>
  <c r="AC66" i="1"/>
  <c r="AD65" i="1"/>
  <c r="AC65" i="1"/>
  <c r="AD64" i="1"/>
  <c r="AC64" i="1"/>
  <c r="AD63" i="1"/>
  <c r="AC63" i="1"/>
  <c r="AD62" i="1"/>
  <c r="AC62" i="1"/>
  <c r="AD61" i="1"/>
  <c r="AC61" i="1"/>
  <c r="AD60" i="1"/>
  <c r="AC60" i="1"/>
  <c r="AD59" i="1"/>
  <c r="AC59" i="1"/>
  <c r="AD58" i="1"/>
  <c r="AC58" i="1"/>
  <c r="AD57" i="1"/>
  <c r="AC57" i="1"/>
  <c r="AD56" i="1"/>
  <c r="AC56" i="1"/>
  <c r="AD55" i="1"/>
  <c r="AC55" i="1"/>
  <c r="AD54" i="1"/>
  <c r="AC54" i="1"/>
  <c r="AD53" i="1"/>
  <c r="AC53" i="1"/>
  <c r="AD52" i="1"/>
  <c r="AC52" i="1"/>
  <c r="AD51" i="1"/>
  <c r="AC51" i="1"/>
  <c r="AD50" i="1"/>
  <c r="AC50" i="1"/>
  <c r="AD49" i="1"/>
  <c r="AC49" i="1"/>
  <c r="AD48" i="1"/>
  <c r="AC48" i="1"/>
  <c r="AD47" i="1"/>
  <c r="AC47" i="1"/>
  <c r="AD46" i="1"/>
  <c r="AC46" i="1"/>
  <c r="AD45" i="1"/>
  <c r="AC45" i="1"/>
  <c r="AD44" i="1"/>
  <c r="AC44" i="1"/>
  <c r="AD43" i="1"/>
  <c r="AC43" i="1"/>
  <c r="AD42" i="1"/>
  <c r="AC42" i="1"/>
  <c r="AD41" i="1"/>
  <c r="AC41" i="1"/>
  <c r="AD40" i="1"/>
  <c r="AC40" i="1"/>
  <c r="AD39" i="1"/>
  <c r="AC39" i="1"/>
  <c r="AD38" i="1"/>
  <c r="AC38" i="1"/>
  <c r="AD37" i="1"/>
  <c r="AC37" i="1"/>
  <c r="AD36" i="1"/>
  <c r="AC36" i="1"/>
  <c r="AD35" i="1"/>
  <c r="AC35" i="1"/>
  <c r="AD34" i="1"/>
  <c r="AC34" i="1"/>
  <c r="AD33" i="1"/>
  <c r="AC33" i="1"/>
  <c r="AD32" i="1"/>
  <c r="AC32" i="1"/>
  <c r="AD31" i="1"/>
  <c r="AC31" i="1"/>
  <c r="AD30" i="1"/>
  <c r="AC30" i="1"/>
  <c r="AD29" i="1"/>
  <c r="AC29" i="1"/>
  <c r="AD28" i="1"/>
  <c r="AC28" i="1"/>
  <c r="AD27" i="1"/>
  <c r="AC27" i="1"/>
  <c r="AD26" i="1"/>
  <c r="AC26" i="1"/>
  <c r="AD25" i="1"/>
  <c r="AC25" i="1"/>
  <c r="AD24" i="1"/>
  <c r="AC24" i="1"/>
  <c r="AD23" i="1"/>
  <c r="AC23" i="1"/>
  <c r="AD22" i="1"/>
  <c r="AC22" i="1"/>
  <c r="AD21" i="1"/>
  <c r="AC21" i="1"/>
  <c r="AD20" i="1"/>
  <c r="AC20" i="1"/>
  <c r="AD19" i="1"/>
  <c r="AC19" i="1"/>
  <c r="AD18" i="1"/>
  <c r="AC18" i="1"/>
  <c r="AD17" i="1"/>
  <c r="AC17" i="1"/>
  <c r="AD16" i="1"/>
  <c r="AC16" i="1"/>
  <c r="AD15" i="1"/>
  <c r="AC15" i="1"/>
  <c r="AD14" i="1"/>
  <c r="AC14" i="1"/>
  <c r="AD13" i="1"/>
  <c r="AC13" i="1"/>
  <c r="AD12" i="1"/>
  <c r="AC12" i="1"/>
  <c r="AD11" i="1"/>
  <c r="AC11" i="1"/>
  <c r="AD10" i="1"/>
  <c r="AC10" i="1"/>
  <c r="AD9" i="1"/>
  <c r="AC9" i="1"/>
  <c r="AE9" i="1" s="1"/>
  <c r="AD8" i="1"/>
  <c r="AC8" i="1"/>
  <c r="AD7" i="1"/>
  <c r="AC7" i="1"/>
  <c r="AD6" i="1"/>
  <c r="AC6" i="1"/>
  <c r="AD5" i="1"/>
  <c r="AC5" i="1"/>
  <c r="X102" i="1"/>
  <c r="W102" i="1"/>
  <c r="X101" i="1"/>
  <c r="W101" i="1"/>
  <c r="X100" i="1"/>
  <c r="W100" i="1"/>
  <c r="X99" i="1"/>
  <c r="W99" i="1"/>
  <c r="X98" i="1"/>
  <c r="W98" i="1"/>
  <c r="X97" i="1"/>
  <c r="W97" i="1"/>
  <c r="X96" i="1"/>
  <c r="W96" i="1"/>
  <c r="X95" i="1"/>
  <c r="W95" i="1"/>
  <c r="Y95" i="1" s="1"/>
  <c r="X94" i="1"/>
  <c r="W94" i="1"/>
  <c r="X93" i="1"/>
  <c r="W93" i="1"/>
  <c r="X92" i="1"/>
  <c r="W92" i="1"/>
  <c r="X91" i="1"/>
  <c r="W91" i="1"/>
  <c r="X90" i="1"/>
  <c r="W90" i="1"/>
  <c r="X89" i="1"/>
  <c r="W89" i="1"/>
  <c r="X88" i="1"/>
  <c r="W88" i="1"/>
  <c r="X87" i="1"/>
  <c r="W87" i="1"/>
  <c r="X86" i="1"/>
  <c r="W86" i="1"/>
  <c r="X85" i="1"/>
  <c r="W85" i="1"/>
  <c r="X84" i="1"/>
  <c r="W84" i="1"/>
  <c r="X83" i="1"/>
  <c r="W83" i="1"/>
  <c r="X82" i="1"/>
  <c r="W82" i="1"/>
  <c r="X81" i="1"/>
  <c r="W81" i="1"/>
  <c r="X80" i="1"/>
  <c r="W80" i="1"/>
  <c r="X79" i="1"/>
  <c r="W79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7" i="1"/>
  <c r="W67" i="1"/>
  <c r="X66" i="1"/>
  <c r="W66" i="1"/>
  <c r="X65" i="1"/>
  <c r="W65" i="1"/>
  <c r="X64" i="1"/>
  <c r="W64" i="1"/>
  <c r="X63" i="1"/>
  <c r="W63" i="1"/>
  <c r="X62" i="1"/>
  <c r="W62" i="1"/>
  <c r="X61" i="1"/>
  <c r="W61" i="1"/>
  <c r="X60" i="1"/>
  <c r="W60" i="1"/>
  <c r="X59" i="1"/>
  <c r="W59" i="1"/>
  <c r="X58" i="1"/>
  <c r="W58" i="1"/>
  <c r="X57" i="1"/>
  <c r="W57" i="1"/>
  <c r="X56" i="1"/>
  <c r="W56" i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X46" i="1"/>
  <c r="W46" i="1"/>
  <c r="X45" i="1"/>
  <c r="W45" i="1"/>
  <c r="X44" i="1"/>
  <c r="W44" i="1"/>
  <c r="X43" i="1"/>
  <c r="W43" i="1"/>
  <c r="X42" i="1"/>
  <c r="W42" i="1"/>
  <c r="X41" i="1"/>
  <c r="W41" i="1"/>
  <c r="X40" i="1"/>
  <c r="W40" i="1"/>
  <c r="X39" i="1"/>
  <c r="W39" i="1"/>
  <c r="X38" i="1"/>
  <c r="W38" i="1"/>
  <c r="X37" i="1"/>
  <c r="W37" i="1"/>
  <c r="X36" i="1"/>
  <c r="W36" i="1"/>
  <c r="X35" i="1"/>
  <c r="W35" i="1"/>
  <c r="X34" i="1"/>
  <c r="W34" i="1"/>
  <c r="X33" i="1"/>
  <c r="W33" i="1"/>
  <c r="X32" i="1"/>
  <c r="W32" i="1"/>
  <c r="X31" i="1"/>
  <c r="W31" i="1"/>
  <c r="X30" i="1"/>
  <c r="W30" i="1"/>
  <c r="X29" i="1"/>
  <c r="W29" i="1"/>
  <c r="X28" i="1"/>
  <c r="W28" i="1"/>
  <c r="X27" i="1"/>
  <c r="W27" i="1"/>
  <c r="X26" i="1"/>
  <c r="W26" i="1"/>
  <c r="X25" i="1"/>
  <c r="W25" i="1"/>
  <c r="X24" i="1"/>
  <c r="W24" i="1"/>
  <c r="X23" i="1"/>
  <c r="W23" i="1"/>
  <c r="X22" i="1"/>
  <c r="W22" i="1"/>
  <c r="X21" i="1"/>
  <c r="W21" i="1"/>
  <c r="X20" i="1"/>
  <c r="W20" i="1"/>
  <c r="X19" i="1"/>
  <c r="W19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11" i="1"/>
  <c r="W11" i="1"/>
  <c r="X10" i="1"/>
  <c r="W10" i="1"/>
  <c r="X9" i="1"/>
  <c r="W9" i="1"/>
  <c r="X8" i="1"/>
  <c r="W8" i="1"/>
  <c r="X7" i="1"/>
  <c r="W7" i="1"/>
  <c r="X6" i="1"/>
  <c r="W6" i="1"/>
  <c r="X5" i="1"/>
  <c r="W5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O51" i="1" s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O39" i="1" s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O27" i="1" s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O15" i="1" s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5" i="1"/>
  <c r="I5" i="1"/>
  <c r="BE46" i="1"/>
  <c r="BE22" i="1"/>
  <c r="AP88" i="1"/>
  <c r="Y22" i="1"/>
  <c r="O9" i="1" l="1"/>
  <c r="O17" i="1"/>
  <c r="O29" i="1"/>
  <c r="O33" i="1"/>
  <c r="O45" i="1"/>
  <c r="O53" i="1"/>
  <c r="O57" i="1"/>
  <c r="O65" i="1"/>
  <c r="O81" i="1"/>
  <c r="Y53" i="1"/>
  <c r="AE63" i="1"/>
  <c r="AE87" i="1"/>
  <c r="AE99" i="1"/>
  <c r="AK99" i="1" s="1"/>
  <c r="AJ33" i="1"/>
  <c r="AP47" i="1"/>
  <c r="AP59" i="1"/>
  <c r="AP95" i="1"/>
  <c r="AU33" i="1"/>
  <c r="AU45" i="1"/>
  <c r="AU69" i="1"/>
  <c r="AU93" i="1"/>
  <c r="BO57" i="1"/>
  <c r="O6" i="1"/>
  <c r="AJ88" i="1"/>
  <c r="O18" i="1"/>
  <c r="BO10" i="1"/>
  <c r="O13" i="1"/>
  <c r="O25" i="1"/>
  <c r="O49" i="1"/>
  <c r="O61" i="1"/>
  <c r="O73" i="1"/>
  <c r="O85" i="1"/>
  <c r="O97" i="1"/>
  <c r="AE67" i="1"/>
  <c r="AE79" i="1"/>
  <c r="AJ41" i="1"/>
  <c r="AJ65" i="1"/>
  <c r="AP15" i="1"/>
  <c r="AU97" i="1"/>
  <c r="BE70" i="1"/>
  <c r="J70" i="1"/>
  <c r="O8" i="1"/>
  <c r="O20" i="1"/>
  <c r="O32" i="1"/>
  <c r="O44" i="1"/>
  <c r="O56" i="1"/>
  <c r="O68" i="1"/>
  <c r="O80" i="1"/>
  <c r="O92" i="1"/>
  <c r="AE50" i="1"/>
  <c r="AE86" i="1"/>
  <c r="AJ72" i="1"/>
  <c r="AJ96" i="1"/>
  <c r="AP10" i="1"/>
  <c r="AU32" i="1"/>
  <c r="AU44" i="1"/>
  <c r="AU56" i="1"/>
  <c r="AU68" i="1"/>
  <c r="AZ42" i="1"/>
  <c r="AZ54" i="1"/>
  <c r="BE88" i="1"/>
  <c r="BE100" i="1"/>
  <c r="BO60" i="1"/>
  <c r="J96" i="1"/>
  <c r="J95" i="1"/>
  <c r="J83" i="1"/>
  <c r="J23" i="1"/>
  <c r="J11" i="1"/>
  <c r="AZ45" i="1"/>
  <c r="BE7" i="1"/>
  <c r="AU36" i="1"/>
  <c r="AU48" i="1"/>
  <c r="J80" i="1"/>
  <c r="O50" i="1"/>
  <c r="O98" i="1"/>
  <c r="BO11" i="1"/>
  <c r="J84" i="1"/>
  <c r="J12" i="1"/>
  <c r="J32" i="1"/>
  <c r="J10" i="1"/>
  <c r="O30" i="1"/>
  <c r="O42" i="1"/>
  <c r="O54" i="1"/>
  <c r="O66" i="1"/>
  <c r="O78" i="1"/>
  <c r="O90" i="1"/>
  <c r="O102" i="1"/>
  <c r="Y74" i="1"/>
  <c r="AE36" i="1"/>
  <c r="AE48" i="1"/>
  <c r="AP20" i="1"/>
  <c r="AU42" i="1"/>
  <c r="AU78" i="1"/>
  <c r="AU102" i="1"/>
  <c r="BJ96" i="1"/>
  <c r="J82" i="1"/>
  <c r="O36" i="1"/>
  <c r="O60" i="1"/>
  <c r="O72" i="1"/>
  <c r="O84" i="1"/>
  <c r="O96" i="1"/>
  <c r="Y44" i="1"/>
  <c r="AE54" i="1"/>
  <c r="AJ28" i="1"/>
  <c r="AP50" i="1"/>
  <c r="AP98" i="1"/>
  <c r="AU60" i="1"/>
  <c r="AU84" i="1"/>
  <c r="AZ34" i="1"/>
  <c r="BE80" i="1"/>
  <c r="BE92" i="1"/>
  <c r="BJ42" i="1"/>
  <c r="BJ54" i="1"/>
  <c r="BJ66" i="1"/>
  <c r="BJ90" i="1"/>
  <c r="BO52" i="1"/>
  <c r="BO64" i="1"/>
  <c r="J92" i="1"/>
  <c r="J68" i="1"/>
  <c r="J8" i="1"/>
  <c r="O62" i="1"/>
  <c r="J72" i="1"/>
  <c r="J60" i="1"/>
  <c r="J36" i="1"/>
  <c r="O22" i="1"/>
  <c r="O34" i="1"/>
  <c r="AJ14" i="1"/>
  <c r="AJ62" i="1"/>
  <c r="AZ32" i="1"/>
  <c r="AZ44" i="1"/>
  <c r="AZ56" i="1"/>
  <c r="BE6" i="1"/>
  <c r="BO26" i="1"/>
  <c r="BO50" i="1"/>
  <c r="BO74" i="1"/>
  <c r="J35" i="1"/>
  <c r="O11" i="1"/>
  <c r="O47" i="1"/>
  <c r="O83" i="1"/>
  <c r="AJ51" i="1"/>
  <c r="AJ63" i="1"/>
  <c r="AZ69" i="1"/>
  <c r="BO39" i="1"/>
  <c r="BO51" i="1"/>
  <c r="BO63" i="1"/>
  <c r="J94" i="1"/>
  <c r="O87" i="1"/>
  <c r="J58" i="1"/>
  <c r="J34" i="1"/>
  <c r="J45" i="1"/>
  <c r="J46" i="1"/>
  <c r="O38" i="1"/>
  <c r="O74" i="1"/>
  <c r="Y82" i="1"/>
  <c r="BJ20" i="1"/>
  <c r="O99" i="1"/>
  <c r="J91" i="1"/>
  <c r="J42" i="1"/>
  <c r="O16" i="1"/>
  <c r="AP102" i="1"/>
  <c r="AU40" i="1"/>
  <c r="AU76" i="1"/>
  <c r="AZ50" i="1"/>
  <c r="BE96" i="1"/>
  <c r="BJ58" i="1"/>
  <c r="BJ70" i="1"/>
  <c r="J66" i="1"/>
  <c r="J18" i="1"/>
  <c r="O28" i="1"/>
  <c r="Y48" i="1"/>
  <c r="AZ38" i="1"/>
  <c r="BJ46" i="1"/>
  <c r="BJ82" i="1"/>
  <c r="J87" i="1"/>
  <c r="O43" i="1"/>
  <c r="O67" i="1"/>
  <c r="O79" i="1"/>
  <c r="O91" i="1"/>
  <c r="AE13" i="1"/>
  <c r="AE61" i="1"/>
  <c r="AE97" i="1"/>
  <c r="AK97" i="1" s="1"/>
  <c r="AU19" i="1"/>
  <c r="AU31" i="1"/>
  <c r="BJ37" i="1"/>
  <c r="BJ61" i="1"/>
  <c r="J59" i="1"/>
  <c r="O23" i="1"/>
  <c r="J5" i="1"/>
  <c r="J50" i="1"/>
  <c r="J48" i="1"/>
  <c r="J47" i="1"/>
  <c r="O5" i="1"/>
  <c r="J75" i="1"/>
  <c r="J63" i="1"/>
  <c r="J39" i="1"/>
  <c r="J27" i="1"/>
  <c r="J15" i="1"/>
  <c r="J89" i="1"/>
  <c r="J41" i="1"/>
  <c r="J76" i="1"/>
  <c r="J28" i="1"/>
  <c r="J14" i="1"/>
  <c r="J97" i="1"/>
  <c r="BO13" i="1"/>
  <c r="O35" i="1"/>
  <c r="J16" i="1"/>
  <c r="O59" i="1"/>
  <c r="O95" i="1"/>
  <c r="J77" i="1"/>
  <c r="J65" i="1"/>
  <c r="O77" i="1"/>
  <c r="J52" i="1"/>
  <c r="J38" i="1"/>
  <c r="J24" i="1"/>
  <c r="J29" i="1"/>
  <c r="J69" i="1"/>
  <c r="J57" i="1"/>
  <c r="J17" i="1"/>
  <c r="BO18" i="1"/>
  <c r="J53" i="1"/>
  <c r="J64" i="1"/>
  <c r="J62" i="1"/>
  <c r="J102" i="1"/>
  <c r="J30" i="1"/>
  <c r="AE10" i="1"/>
  <c r="AJ92" i="1"/>
  <c r="AU52" i="1"/>
  <c r="BJ10" i="1"/>
  <c r="BO56" i="1"/>
  <c r="AE89" i="1"/>
  <c r="AJ43" i="1"/>
  <c r="AJ55" i="1"/>
  <c r="AP57" i="1"/>
  <c r="AU35" i="1"/>
  <c r="AU47" i="1"/>
  <c r="AU71" i="1"/>
  <c r="AU83" i="1"/>
  <c r="AZ37" i="1"/>
  <c r="AZ49" i="1"/>
  <c r="AZ73" i="1"/>
  <c r="AZ85" i="1"/>
  <c r="BE75" i="1"/>
  <c r="BJ14" i="1"/>
  <c r="BJ41" i="1"/>
  <c r="BJ53" i="1"/>
  <c r="BJ65" i="1"/>
  <c r="BO17" i="1"/>
  <c r="BO31" i="1"/>
  <c r="BO43" i="1"/>
  <c r="BO67" i="1"/>
  <c r="BO79" i="1"/>
  <c r="AJ30" i="1"/>
  <c r="J13" i="1"/>
  <c r="J25" i="1"/>
  <c r="J49" i="1"/>
  <c r="J61" i="1"/>
  <c r="J73" i="1"/>
  <c r="O46" i="1"/>
  <c r="O70" i="1"/>
  <c r="O94" i="1"/>
  <c r="J26" i="1"/>
  <c r="J74" i="1"/>
  <c r="J86" i="1"/>
  <c r="J98" i="1"/>
  <c r="O12" i="1"/>
  <c r="J100" i="1"/>
  <c r="AE46" i="1"/>
  <c r="O63" i="1"/>
  <c r="O75" i="1"/>
  <c r="J7" i="1"/>
  <c r="J19" i="1"/>
  <c r="J31" i="1"/>
  <c r="J43" i="1"/>
  <c r="J55" i="1"/>
  <c r="J79" i="1"/>
  <c r="J90" i="1"/>
  <c r="O40" i="1"/>
  <c r="O64" i="1"/>
  <c r="O76" i="1"/>
  <c r="O88" i="1"/>
  <c r="AE60" i="1"/>
  <c r="O101" i="1"/>
  <c r="BO21" i="1"/>
  <c r="AU17" i="1"/>
  <c r="AU43" i="1"/>
  <c r="J21" i="1"/>
  <c r="J81" i="1"/>
  <c r="J93" i="1"/>
  <c r="O19" i="1"/>
  <c r="O31" i="1"/>
  <c r="J37" i="1"/>
  <c r="J71" i="1"/>
  <c r="O7" i="1"/>
  <c r="O41" i="1"/>
  <c r="O52" i="1"/>
  <c r="O86" i="1"/>
  <c r="AE21" i="1"/>
  <c r="J6" i="1"/>
  <c r="J40" i="1"/>
  <c r="J51" i="1"/>
  <c r="J85" i="1"/>
  <c r="O10" i="1"/>
  <c r="O21" i="1"/>
  <c r="O55" i="1"/>
  <c r="O89" i="1"/>
  <c r="O100" i="1"/>
  <c r="J9" i="1"/>
  <c r="J20" i="1"/>
  <c r="J54" i="1"/>
  <c r="J88" i="1"/>
  <c r="J99" i="1"/>
  <c r="O24" i="1"/>
  <c r="O58" i="1"/>
  <c r="O69" i="1"/>
  <c r="BE84" i="1"/>
  <c r="AZ7" i="1"/>
  <c r="J33" i="1"/>
  <c r="J44" i="1"/>
  <c r="J78" i="1"/>
  <c r="O14" i="1"/>
  <c r="O48" i="1"/>
  <c r="O82" i="1"/>
  <c r="O93" i="1"/>
  <c r="J22" i="1"/>
  <c r="J56" i="1"/>
  <c r="J67" i="1"/>
  <c r="J101" i="1"/>
  <c r="O26" i="1"/>
  <c r="O37" i="1"/>
  <c r="O71" i="1"/>
  <c r="Y16" i="1"/>
  <c r="AJ24" i="1"/>
  <c r="AJ37" i="1"/>
  <c r="AJ61" i="1"/>
  <c r="AP51" i="1"/>
  <c r="AP63" i="1"/>
  <c r="AP99" i="1"/>
  <c r="AU28" i="1"/>
  <c r="AU89" i="1"/>
  <c r="AZ17" i="1"/>
  <c r="BO30" i="1"/>
  <c r="Y12" i="1"/>
  <c r="Y21" i="1"/>
  <c r="BJ16" i="1"/>
  <c r="AZ30" i="1"/>
  <c r="AU46" i="1"/>
  <c r="AU82" i="1"/>
  <c r="AU94" i="1"/>
  <c r="AZ48" i="1"/>
  <c r="AZ60" i="1"/>
  <c r="BE38" i="1"/>
  <c r="BO15" i="1"/>
  <c r="BO29" i="1"/>
  <c r="BO42" i="1"/>
  <c r="BO66" i="1"/>
  <c r="BO12" i="1"/>
  <c r="T22" i="1"/>
  <c r="Y31" i="1"/>
  <c r="Y43" i="1"/>
  <c r="Y91" i="1"/>
  <c r="AE45" i="1"/>
  <c r="AE93" i="1"/>
  <c r="AP49" i="1"/>
  <c r="AP61" i="1"/>
  <c r="AP97" i="1"/>
  <c r="AU26" i="1"/>
  <c r="AU87" i="1"/>
  <c r="AZ28" i="1"/>
  <c r="AZ41" i="1"/>
  <c r="AZ101" i="1"/>
  <c r="BJ45" i="1"/>
  <c r="BJ57" i="1"/>
  <c r="BJ93" i="1"/>
  <c r="BO7" i="1"/>
  <c r="BO47" i="1"/>
  <c r="BO59" i="1"/>
  <c r="BO71" i="1"/>
  <c r="T81" i="1"/>
  <c r="BO75" i="1"/>
  <c r="AP30" i="1"/>
  <c r="T77" i="1"/>
  <c r="AE30" i="1"/>
  <c r="AK30" i="1" s="1"/>
  <c r="T85" i="1"/>
  <c r="T24" i="1"/>
  <c r="Y90" i="1"/>
  <c r="AP48" i="1"/>
  <c r="AP60" i="1"/>
  <c r="AP96" i="1"/>
  <c r="AU38" i="1"/>
  <c r="AU98" i="1"/>
  <c r="AZ100" i="1"/>
  <c r="BE29" i="1"/>
  <c r="BE42" i="1"/>
  <c r="BE66" i="1"/>
  <c r="BO6" i="1"/>
  <c r="BO34" i="1"/>
  <c r="BO46" i="1"/>
  <c r="BO70" i="1"/>
  <c r="BO82" i="1"/>
  <c r="Y30" i="1"/>
  <c r="AU30" i="1"/>
  <c r="AZ16" i="1"/>
  <c r="AU16" i="1"/>
  <c r="Y55" i="1"/>
  <c r="AJ59" i="1"/>
  <c r="AU51" i="1"/>
  <c r="AU75" i="1"/>
  <c r="BJ19" i="1"/>
  <c r="T30" i="1"/>
  <c r="T73" i="1"/>
  <c r="AJ21" i="1"/>
  <c r="Y61" i="1"/>
  <c r="Y26" i="1"/>
  <c r="Y59" i="1"/>
  <c r="Y75" i="1"/>
  <c r="Y63" i="1"/>
  <c r="Y45" i="1"/>
  <c r="Y99" i="1"/>
  <c r="Y78" i="1"/>
  <c r="T80" i="1"/>
  <c r="T76" i="1"/>
  <c r="T72" i="1"/>
  <c r="AP16" i="1"/>
  <c r="T16" i="1"/>
  <c r="AE92" i="1"/>
  <c r="AK92" i="1" s="1"/>
  <c r="BO102" i="1"/>
  <c r="AJ16" i="1"/>
  <c r="T99" i="1"/>
  <c r="T55" i="1"/>
  <c r="T18" i="1"/>
  <c r="Y34" i="1"/>
  <c r="BJ80" i="1"/>
  <c r="BJ21" i="1"/>
  <c r="AP21" i="1"/>
  <c r="BE83" i="1"/>
  <c r="BJ77" i="1"/>
  <c r="BJ30" i="1"/>
  <c r="BE30" i="1"/>
  <c r="T37" i="1"/>
  <c r="Y27" i="1"/>
  <c r="AJ40" i="1"/>
  <c r="BO32" i="1"/>
  <c r="BJ12" i="1"/>
  <c r="T12" i="1"/>
  <c r="BE21" i="1"/>
  <c r="T21" i="1"/>
  <c r="T32" i="1"/>
  <c r="AJ69" i="1"/>
  <c r="AU9" i="1"/>
  <c r="AZ39" i="1"/>
  <c r="AZ71" i="1"/>
  <c r="AZ21" i="1"/>
  <c r="BO16" i="1"/>
  <c r="AE16" i="1"/>
  <c r="Y66" i="1"/>
  <c r="AU21" i="1"/>
  <c r="BO91" i="1"/>
  <c r="T98" i="1"/>
  <c r="T82" i="1"/>
  <c r="T58" i="1"/>
  <c r="T42" i="1"/>
  <c r="T34" i="1"/>
  <c r="AP45" i="1"/>
  <c r="BO22" i="1"/>
  <c r="BE16" i="1"/>
  <c r="Y50" i="1"/>
  <c r="AU25" i="1"/>
  <c r="BE102" i="1"/>
  <c r="BO69" i="1"/>
  <c r="BO73" i="1"/>
  <c r="T11" i="1"/>
  <c r="T7" i="1"/>
  <c r="Y94" i="1"/>
  <c r="Y98" i="1"/>
  <c r="AE91" i="1"/>
  <c r="AP38" i="1"/>
  <c r="BJ88" i="1"/>
  <c r="T87" i="1"/>
  <c r="T6" i="1"/>
  <c r="Y8" i="1"/>
  <c r="Y18" i="1"/>
  <c r="Y83" i="1"/>
  <c r="Y87" i="1"/>
  <c r="AE64" i="1"/>
  <c r="AE68" i="1"/>
  <c r="AE84" i="1"/>
  <c r="AE96" i="1"/>
  <c r="AK96" i="1" s="1"/>
  <c r="AJ20" i="1"/>
  <c r="AJ29" i="1"/>
  <c r="AJ34" i="1"/>
  <c r="AJ38" i="1"/>
  <c r="AJ57" i="1"/>
  <c r="AJ89" i="1"/>
  <c r="AJ97" i="1"/>
  <c r="AJ101" i="1"/>
  <c r="AP7" i="1"/>
  <c r="AP26" i="1"/>
  <c r="AP31" i="1"/>
  <c r="AP94" i="1"/>
  <c r="AU13" i="1"/>
  <c r="AZ5" i="1"/>
  <c r="AZ19" i="1"/>
  <c r="BO58" i="1"/>
  <c r="T71" i="1"/>
  <c r="T101" i="1"/>
  <c r="T97" i="1"/>
  <c r="T57" i="1"/>
  <c r="T33" i="1"/>
  <c r="Y52" i="1"/>
  <c r="Y84" i="1"/>
  <c r="Y88" i="1"/>
  <c r="AE65" i="1"/>
  <c r="AE81" i="1"/>
  <c r="BE59" i="1"/>
  <c r="BJ33" i="1"/>
  <c r="BO99" i="1"/>
  <c r="Y28" i="1"/>
  <c r="Y33" i="1"/>
  <c r="AJ17" i="1"/>
  <c r="AJ70" i="1"/>
  <c r="AJ94" i="1"/>
  <c r="AJ98" i="1"/>
  <c r="AJ102" i="1"/>
  <c r="AP8" i="1"/>
  <c r="AP67" i="1"/>
  <c r="BO40" i="1"/>
  <c r="T14" i="1"/>
  <c r="Y65" i="1"/>
  <c r="Y77" i="1"/>
  <c r="Y92" i="1"/>
  <c r="AZ22" i="1"/>
  <c r="AZ26" i="1"/>
  <c r="BE40" i="1"/>
  <c r="BE44" i="1"/>
  <c r="BO80" i="1"/>
  <c r="BO84" i="1"/>
  <c r="BO88" i="1"/>
  <c r="BO92" i="1"/>
  <c r="BO100" i="1"/>
  <c r="Y38" i="1"/>
  <c r="T48" i="1"/>
  <c r="T44" i="1"/>
  <c r="T8" i="1"/>
  <c r="Y10" i="1"/>
  <c r="Y93" i="1"/>
  <c r="Y97" i="1"/>
  <c r="AE43" i="1"/>
  <c r="AE47" i="1"/>
  <c r="AK47" i="1" s="1"/>
  <c r="AE59" i="1"/>
  <c r="AK59" i="1" s="1"/>
  <c r="AE62" i="1"/>
  <c r="AK62" i="1" s="1"/>
  <c r="AE98" i="1"/>
  <c r="AK98" i="1" s="1"/>
  <c r="AJ18" i="1"/>
  <c r="AJ23" i="1"/>
  <c r="AJ27" i="1"/>
  <c r="AJ75" i="1"/>
  <c r="AJ79" i="1"/>
  <c r="AJ87" i="1"/>
  <c r="AJ91" i="1"/>
  <c r="AJ95" i="1"/>
  <c r="AP5" i="1"/>
  <c r="AP9" i="1"/>
  <c r="AP24" i="1"/>
  <c r="AP41" i="1"/>
  <c r="AP80" i="1"/>
  <c r="AU6" i="1"/>
  <c r="BE24" i="1"/>
  <c r="BE49" i="1"/>
  <c r="BE73" i="1"/>
  <c r="BE85" i="1"/>
  <c r="BE89" i="1"/>
  <c r="BE93" i="1"/>
  <c r="BE97" i="1"/>
  <c r="BE101" i="1"/>
  <c r="BJ7" i="1"/>
  <c r="BJ11" i="1"/>
  <c r="BJ22" i="1"/>
  <c r="BJ39" i="1"/>
  <c r="BJ43" i="1"/>
  <c r="BJ47" i="1"/>
  <c r="BJ55" i="1"/>
  <c r="BJ67" i="1"/>
  <c r="BJ71" i="1"/>
  <c r="BJ79" i="1"/>
  <c r="BJ83" i="1"/>
  <c r="BJ87" i="1"/>
  <c r="BJ91" i="1"/>
  <c r="BJ95" i="1"/>
  <c r="BJ99" i="1"/>
  <c r="BO5" i="1"/>
  <c r="BO9" i="1"/>
  <c r="BO14" i="1"/>
  <c r="BO37" i="1"/>
  <c r="BO41" i="1"/>
  <c r="BO45" i="1"/>
  <c r="BO49" i="1"/>
  <c r="T88" i="1"/>
  <c r="T69" i="1"/>
  <c r="T46" i="1"/>
  <c r="Y102" i="1"/>
  <c r="AE101" i="1"/>
  <c r="AJ7" i="1"/>
  <c r="AP35" i="1"/>
  <c r="AP42" i="1"/>
  <c r="AP77" i="1"/>
  <c r="AP81" i="1"/>
  <c r="AP85" i="1"/>
  <c r="AU5" i="1"/>
  <c r="AU18" i="1"/>
  <c r="AU90" i="1"/>
  <c r="BJ5" i="1"/>
  <c r="BJ69" i="1"/>
  <c r="BJ73" i="1"/>
  <c r="T53" i="1"/>
  <c r="T49" i="1"/>
  <c r="Y6" i="1"/>
  <c r="AE18" i="1"/>
  <c r="AK18" i="1" s="1"/>
  <c r="AJ47" i="1"/>
  <c r="AU95" i="1"/>
  <c r="AZ9" i="1"/>
  <c r="AZ14" i="1"/>
  <c r="AZ84" i="1"/>
  <c r="AZ92" i="1"/>
  <c r="BE65" i="1"/>
  <c r="BE77" i="1"/>
  <c r="BJ6" i="1"/>
  <c r="BJ24" i="1"/>
  <c r="BJ89" i="1"/>
  <c r="T96" i="1"/>
  <c r="T5" i="1"/>
  <c r="T68" i="1"/>
  <c r="T56" i="1"/>
  <c r="T28" i="1"/>
  <c r="Y7" i="1"/>
  <c r="Y15" i="1"/>
  <c r="Y25" i="1"/>
  <c r="Y81" i="1"/>
  <c r="AE14" i="1"/>
  <c r="AK14" i="1" s="1"/>
  <c r="AE24" i="1"/>
  <c r="AK24" i="1" s="1"/>
  <c r="AE28" i="1"/>
  <c r="AK28" i="1" s="1"/>
  <c r="AE33" i="1"/>
  <c r="AK33" i="1" s="1"/>
  <c r="AE40" i="1"/>
  <c r="AK40" i="1" s="1"/>
  <c r="AE44" i="1"/>
  <c r="AE76" i="1"/>
  <c r="AE80" i="1"/>
  <c r="AJ44" i="1"/>
  <c r="AJ48" i="1"/>
  <c r="AJ52" i="1"/>
  <c r="AJ56" i="1"/>
  <c r="AJ78" i="1"/>
  <c r="AJ86" i="1"/>
  <c r="AP27" i="1"/>
  <c r="AP32" i="1"/>
  <c r="AP36" i="1"/>
  <c r="AP70" i="1"/>
  <c r="AP74" i="1"/>
  <c r="BJ101" i="1"/>
  <c r="T90" i="1"/>
  <c r="T36" i="1"/>
  <c r="Y11" i="1"/>
  <c r="Y42" i="1"/>
  <c r="Y46" i="1"/>
  <c r="AU100" i="1"/>
  <c r="AZ15" i="1"/>
  <c r="AZ20" i="1"/>
  <c r="AZ25" i="1"/>
  <c r="AZ77" i="1"/>
  <c r="AZ81" i="1"/>
  <c r="AZ97" i="1"/>
  <c r="BE11" i="1"/>
  <c r="BE17" i="1"/>
  <c r="BE54" i="1"/>
  <c r="BJ50" i="1"/>
  <c r="BJ78" i="1"/>
  <c r="BO27" i="1"/>
  <c r="BO87" i="1"/>
  <c r="Y58" i="1"/>
  <c r="AE53" i="1"/>
  <c r="AK53" i="1" s="1"/>
  <c r="AE57" i="1"/>
  <c r="AK57" i="1" s="1"/>
  <c r="AJ68" i="1"/>
  <c r="AP14" i="1"/>
  <c r="AP71" i="1"/>
  <c r="AP75" i="1"/>
  <c r="AU20" i="1"/>
  <c r="AU41" i="1"/>
  <c r="AU53" i="1"/>
  <c r="AU57" i="1"/>
  <c r="AZ78" i="1"/>
  <c r="AZ82" i="1"/>
  <c r="AZ86" i="1"/>
  <c r="BE8" i="1"/>
  <c r="BE18" i="1"/>
  <c r="BE26" i="1"/>
  <c r="BE51" i="1"/>
  <c r="BE55" i="1"/>
  <c r="BE67" i="1"/>
  <c r="BE71" i="1"/>
  <c r="BE82" i="1"/>
  <c r="BE86" i="1"/>
  <c r="BE98" i="1"/>
  <c r="BJ102" i="1"/>
  <c r="T78" i="1"/>
  <c r="T19" i="1"/>
  <c r="AZ29" i="1"/>
  <c r="AZ46" i="1"/>
  <c r="AZ74" i="1"/>
  <c r="AZ98" i="1"/>
  <c r="BJ59" i="1"/>
  <c r="BJ63" i="1"/>
  <c r="BJ75" i="1"/>
  <c r="T86" i="1"/>
  <c r="T50" i="1"/>
  <c r="T43" i="1"/>
  <c r="T35" i="1"/>
  <c r="T23" i="1"/>
  <c r="T9" i="1"/>
  <c r="Y9" i="1"/>
  <c r="Y32" i="1"/>
  <c r="AE22" i="1"/>
  <c r="AE31" i="1"/>
  <c r="AK31" i="1" s="1"/>
  <c r="AE35" i="1"/>
  <c r="AE70" i="1"/>
  <c r="AK70" i="1" s="1"/>
  <c r="AE74" i="1"/>
  <c r="AE78" i="1"/>
  <c r="AK78" i="1" s="1"/>
  <c r="AJ46" i="1"/>
  <c r="AJ54" i="1"/>
  <c r="AJ58" i="1"/>
  <c r="AP25" i="1"/>
  <c r="AP56" i="1"/>
  <c r="AP72" i="1"/>
  <c r="AU11" i="1"/>
  <c r="AU22" i="1"/>
  <c r="AU50" i="1"/>
  <c r="AU58" i="1"/>
  <c r="AU62" i="1"/>
  <c r="AU66" i="1"/>
  <c r="AU101" i="1"/>
  <c r="AZ43" i="1"/>
  <c r="AZ63" i="1"/>
  <c r="AZ67" i="1"/>
  <c r="AZ75" i="1"/>
  <c r="AZ79" i="1"/>
  <c r="AZ87" i="1"/>
  <c r="AZ91" i="1"/>
  <c r="AZ95" i="1"/>
  <c r="AZ99" i="1"/>
  <c r="BE48" i="1"/>
  <c r="BE52" i="1"/>
  <c r="BE56" i="1"/>
  <c r="BE60" i="1"/>
  <c r="BE64" i="1"/>
  <c r="BE68" i="1"/>
  <c r="BE72" i="1"/>
  <c r="BE87" i="1"/>
  <c r="BE91" i="1"/>
  <c r="BE95" i="1"/>
  <c r="BE99" i="1"/>
  <c r="BJ13" i="1"/>
  <c r="BJ18" i="1"/>
  <c r="BJ23" i="1"/>
  <c r="BJ32" i="1"/>
  <c r="BJ36" i="1"/>
  <c r="BJ40" i="1"/>
  <c r="BJ44" i="1"/>
  <c r="BJ68" i="1"/>
  <c r="BJ72" i="1"/>
  <c r="BJ76" i="1"/>
  <c r="BJ92" i="1"/>
  <c r="BO53" i="1"/>
  <c r="BO61" i="1"/>
  <c r="BO65" i="1"/>
  <c r="BO81" i="1"/>
  <c r="BO85" i="1"/>
  <c r="BO89" i="1"/>
  <c r="BO93" i="1"/>
  <c r="BO97" i="1"/>
  <c r="BO101" i="1"/>
  <c r="T95" i="1"/>
  <c r="T10" i="1"/>
  <c r="Y51" i="1"/>
  <c r="T102" i="1"/>
  <c r="Y70" i="1"/>
  <c r="Y85" i="1"/>
  <c r="Y96" i="1"/>
  <c r="AE23" i="1"/>
  <c r="AK23" i="1" s="1"/>
  <c r="AE27" i="1"/>
  <c r="AK27" i="1" s="1"/>
  <c r="AE72" i="1"/>
  <c r="AK72" i="1" s="1"/>
  <c r="T94" i="1"/>
  <c r="T83" i="1"/>
  <c r="T62" i="1"/>
  <c r="T41" i="1"/>
  <c r="T13" i="1"/>
  <c r="Y5" i="1"/>
  <c r="Y13" i="1"/>
  <c r="Y17" i="1"/>
  <c r="Y29" i="1"/>
  <c r="Y49" i="1"/>
  <c r="Y56" i="1"/>
  <c r="Y67" i="1"/>
  <c r="Y71" i="1"/>
  <c r="Y89" i="1"/>
  <c r="Y100" i="1"/>
  <c r="AE6" i="1"/>
  <c r="AE55" i="1"/>
  <c r="AK55" i="1" s="1"/>
  <c r="T91" i="1"/>
  <c r="Y62" i="1"/>
  <c r="T93" i="1"/>
  <c r="T89" i="1"/>
  <c r="T65" i="1"/>
  <c r="T54" i="1"/>
  <c r="T20" i="1"/>
  <c r="T17" i="1"/>
  <c r="Y14" i="1"/>
  <c r="Y23" i="1"/>
  <c r="Y35" i="1"/>
  <c r="Y39" i="1"/>
  <c r="Y60" i="1"/>
  <c r="Y68" i="1"/>
  <c r="Y72" i="1"/>
  <c r="Y79" i="1"/>
  <c r="Y86" i="1"/>
  <c r="AE11" i="1"/>
  <c r="AK11" i="1" s="1"/>
  <c r="AE20" i="1"/>
  <c r="AK20" i="1" s="1"/>
  <c r="AE37" i="1"/>
  <c r="AK37" i="1" s="1"/>
  <c r="AE41" i="1"/>
  <c r="AK41" i="1" s="1"/>
  <c r="AE52" i="1"/>
  <c r="AJ11" i="1"/>
  <c r="AU91" i="1"/>
  <c r="Y20" i="1"/>
  <c r="T100" i="1"/>
  <c r="T92" i="1"/>
  <c r="T74" i="1"/>
  <c r="T60" i="1"/>
  <c r="T15" i="1"/>
  <c r="Y19" i="1"/>
  <c r="Y76" i="1"/>
  <c r="AE17" i="1"/>
  <c r="AE25" i="1"/>
  <c r="AK25" i="1" s="1"/>
  <c r="BO33" i="1"/>
  <c r="T84" i="1"/>
  <c r="T67" i="1"/>
  <c r="Y24" i="1"/>
  <c r="Y36" i="1"/>
  <c r="Y40" i="1"/>
  <c r="Y47" i="1"/>
  <c r="Y54" i="1"/>
  <c r="Y73" i="1"/>
  <c r="Y80" i="1"/>
  <c r="AE8" i="1"/>
  <c r="AU73" i="1"/>
  <c r="BO77" i="1"/>
  <c r="AE83" i="1"/>
  <c r="AE90" i="1"/>
  <c r="AJ66" i="1"/>
  <c r="AJ73" i="1"/>
  <c r="AJ77" i="1"/>
  <c r="AJ81" i="1"/>
  <c r="AJ85" i="1"/>
  <c r="AP13" i="1"/>
  <c r="AP23" i="1"/>
  <c r="AP39" i="1"/>
  <c r="AP46" i="1"/>
  <c r="AP53" i="1"/>
  <c r="AP64" i="1"/>
  <c r="AP68" i="1"/>
  <c r="AP79" i="1"/>
  <c r="AP83" i="1"/>
  <c r="AP87" i="1"/>
  <c r="AP90" i="1"/>
  <c r="AP101" i="1"/>
  <c r="AU10" i="1"/>
  <c r="AU15" i="1"/>
  <c r="AU24" i="1"/>
  <c r="AU61" i="1"/>
  <c r="AU65" i="1"/>
  <c r="AU80" i="1"/>
  <c r="AZ11" i="1"/>
  <c r="AZ52" i="1"/>
  <c r="AZ55" i="1"/>
  <c r="AZ59" i="1"/>
  <c r="AZ89" i="1"/>
  <c r="AZ93" i="1"/>
  <c r="BE10" i="1"/>
  <c r="BE15" i="1"/>
  <c r="BE20" i="1"/>
  <c r="BE27" i="1"/>
  <c r="BE32" i="1"/>
  <c r="BE36" i="1"/>
  <c r="BE58" i="1"/>
  <c r="BE62" i="1"/>
  <c r="BE69" i="1"/>
  <c r="BJ8" i="1"/>
  <c r="BJ17" i="1"/>
  <c r="BJ25" i="1"/>
  <c r="BJ29" i="1"/>
  <c r="BJ49" i="1"/>
  <c r="BJ56" i="1"/>
  <c r="BJ64" i="1"/>
  <c r="BJ86" i="1"/>
  <c r="BJ97" i="1"/>
  <c r="BO20" i="1"/>
  <c r="BO25" i="1"/>
  <c r="BO28" i="1"/>
  <c r="BO36" i="1"/>
  <c r="BO55" i="1"/>
  <c r="BO83" i="1"/>
  <c r="BO98" i="1"/>
  <c r="BE12" i="1"/>
  <c r="AJ12" i="1"/>
  <c r="AE15" i="1"/>
  <c r="AK15" i="1" s="1"/>
  <c r="AE19" i="1"/>
  <c r="AE32" i="1"/>
  <c r="AK32" i="1" s="1"/>
  <c r="AE51" i="1"/>
  <c r="AK51" i="1" s="1"/>
  <c r="AE58" i="1"/>
  <c r="AK58" i="1" s="1"/>
  <c r="AE69" i="1"/>
  <c r="AK69" i="1" s="1"/>
  <c r="AE73" i="1"/>
  <c r="AK73" i="1" s="1"/>
  <c r="AE94" i="1"/>
  <c r="AK94" i="1" s="1"/>
  <c r="AE102" i="1"/>
  <c r="AK102" i="1" s="1"/>
  <c r="AJ8" i="1"/>
  <c r="AJ45" i="1"/>
  <c r="AJ60" i="1"/>
  <c r="AJ67" i="1"/>
  <c r="AJ74" i="1"/>
  <c r="AJ93" i="1"/>
  <c r="AJ99" i="1"/>
  <c r="AP19" i="1"/>
  <c r="AP40" i="1"/>
  <c r="AP43" i="1"/>
  <c r="AP54" i="1"/>
  <c r="AP65" i="1"/>
  <c r="AP69" i="1"/>
  <c r="AP76" i="1"/>
  <c r="AP91" i="1"/>
  <c r="AU7" i="1"/>
  <c r="AU37" i="1"/>
  <c r="AU70" i="1"/>
  <c r="AU77" i="1"/>
  <c r="AU81" i="1"/>
  <c r="AU88" i="1"/>
  <c r="AU99" i="1"/>
  <c r="AZ8" i="1"/>
  <c r="AZ13" i="1"/>
  <c r="AZ31" i="1"/>
  <c r="AZ68" i="1"/>
  <c r="AZ90" i="1"/>
  <c r="AZ94" i="1"/>
  <c r="BE25" i="1"/>
  <c r="BE28" i="1"/>
  <c r="BE33" i="1"/>
  <c r="BE37" i="1"/>
  <c r="BE41" i="1"/>
  <c r="BE45" i="1"/>
  <c r="BE63" i="1"/>
  <c r="BE81" i="1"/>
  <c r="BJ31" i="1"/>
  <c r="BJ34" i="1"/>
  <c r="BJ38" i="1"/>
  <c r="BJ98" i="1"/>
  <c r="BO44" i="1"/>
  <c r="BO48" i="1"/>
  <c r="BO95" i="1"/>
  <c r="AZ12" i="1"/>
  <c r="AE12" i="1"/>
  <c r="AK12" i="1" s="1"/>
  <c r="AE66" i="1"/>
  <c r="AE77" i="1"/>
  <c r="AE95" i="1"/>
  <c r="AJ13" i="1"/>
  <c r="AJ22" i="1"/>
  <c r="AJ26" i="1"/>
  <c r="AJ31" i="1"/>
  <c r="AJ35" i="1"/>
  <c r="AJ39" i="1"/>
  <c r="AJ42" i="1"/>
  <c r="AJ49" i="1"/>
  <c r="AJ53" i="1"/>
  <c r="AJ64" i="1"/>
  <c r="AJ71" i="1"/>
  <c r="AJ90" i="1"/>
  <c r="AJ100" i="1"/>
  <c r="AP6" i="1"/>
  <c r="AP28" i="1"/>
  <c r="AP33" i="1"/>
  <c r="AP37" i="1"/>
  <c r="AP44" i="1"/>
  <c r="AP58" i="1"/>
  <c r="AP62" i="1"/>
  <c r="AP73" i="1"/>
  <c r="AU8" i="1"/>
  <c r="AU29" i="1"/>
  <c r="AU34" i="1"/>
  <c r="AU55" i="1"/>
  <c r="AU59" i="1"/>
  <c r="AU63" i="1"/>
  <c r="AU67" i="1"/>
  <c r="AU74" i="1"/>
  <c r="AU85" i="1"/>
  <c r="AU92" i="1"/>
  <c r="AU96" i="1"/>
  <c r="AZ18" i="1"/>
  <c r="AZ27" i="1"/>
  <c r="AZ35" i="1"/>
  <c r="AZ57" i="1"/>
  <c r="AZ61" i="1"/>
  <c r="AZ65" i="1"/>
  <c r="AZ76" i="1"/>
  <c r="AZ83" i="1"/>
  <c r="AZ102" i="1"/>
  <c r="AU12" i="1"/>
  <c r="BE78" i="1"/>
  <c r="BJ35" i="1"/>
  <c r="BJ62" i="1"/>
  <c r="AJ5" i="1"/>
  <c r="AJ83" i="1"/>
  <c r="AP55" i="1"/>
  <c r="AZ6" i="1"/>
  <c r="AZ24" i="1"/>
  <c r="AZ36" i="1"/>
  <c r="AZ40" i="1"/>
  <c r="AZ47" i="1"/>
  <c r="AZ58" i="1"/>
  <c r="AZ62" i="1"/>
  <c r="AZ66" i="1"/>
  <c r="BE5" i="1"/>
  <c r="BE13" i="1"/>
  <c r="BE23" i="1"/>
  <c r="BE50" i="1"/>
  <c r="BE53" i="1"/>
  <c r="BJ81" i="1"/>
  <c r="AP12" i="1"/>
  <c r="AE5" i="1"/>
  <c r="AK5" i="1" s="1"/>
  <c r="AE26" i="1"/>
  <c r="AK26" i="1" s="1"/>
  <c r="AE29" i="1"/>
  <c r="AK29" i="1" s="1"/>
  <c r="AE38" i="1"/>
  <c r="AK38" i="1" s="1"/>
  <c r="AE42" i="1"/>
  <c r="AE49" i="1"/>
  <c r="AE56" i="1"/>
  <c r="AK56" i="1" s="1"/>
  <c r="AE75" i="1"/>
  <c r="AK75" i="1" s="1"/>
  <c r="AE82" i="1"/>
  <c r="AE85" i="1"/>
  <c r="AK85" i="1" s="1"/>
  <c r="AE100" i="1"/>
  <c r="AK100" i="1" s="1"/>
  <c r="AJ6" i="1"/>
  <c r="AJ10" i="1"/>
  <c r="AJ19" i="1"/>
  <c r="AJ32" i="1"/>
  <c r="AJ36" i="1"/>
  <c r="AJ76" i="1"/>
  <c r="AJ80" i="1"/>
  <c r="AJ84" i="1"/>
  <c r="AP11" i="1"/>
  <c r="AP17" i="1"/>
  <c r="AP22" i="1"/>
  <c r="AP29" i="1"/>
  <c r="AP34" i="1"/>
  <c r="AP52" i="1"/>
  <c r="AP78" i="1"/>
  <c r="AP82" i="1"/>
  <c r="AP93" i="1"/>
  <c r="AP100" i="1"/>
  <c r="AU14" i="1"/>
  <c r="AU23" i="1"/>
  <c r="AU39" i="1"/>
  <c r="AU49" i="1"/>
  <c r="AU72" i="1"/>
  <c r="AU79" i="1"/>
  <c r="AZ10" i="1"/>
  <c r="AZ33" i="1"/>
  <c r="AZ51" i="1"/>
  <c r="AZ70" i="1"/>
  <c r="AZ88" i="1"/>
  <c r="BE9" i="1"/>
  <c r="BE14" i="1"/>
  <c r="BE31" i="1"/>
  <c r="BE35" i="1"/>
  <c r="BE39" i="1"/>
  <c r="BE43" i="1"/>
  <c r="BE47" i="1"/>
  <c r="BE57" i="1"/>
  <c r="BE61" i="1"/>
  <c r="BE76" i="1"/>
  <c r="BE79" i="1"/>
  <c r="BE94" i="1"/>
  <c r="BJ15" i="1"/>
  <c r="BJ28" i="1"/>
  <c r="BJ48" i="1"/>
  <c r="BJ52" i="1"/>
  <c r="BJ74" i="1"/>
  <c r="BJ85" i="1"/>
  <c r="BO19" i="1"/>
  <c r="BO24" i="1"/>
  <c r="BO35" i="1"/>
  <c r="BO54" i="1"/>
  <c r="BO68" i="1"/>
  <c r="BO72" i="1"/>
  <c r="BO76" i="1"/>
  <c r="BO86" i="1"/>
  <c r="BO90" i="1"/>
  <c r="T79" i="1"/>
  <c r="T75" i="1"/>
  <c r="T70" i="1"/>
  <c r="T64" i="1"/>
  <c r="T63" i="1"/>
  <c r="T61" i="1"/>
  <c r="T59" i="1"/>
  <c r="T52" i="1"/>
  <c r="T51" i="1"/>
  <c r="T47" i="1"/>
  <c r="T45" i="1"/>
  <c r="T40" i="1"/>
  <c r="T39" i="1"/>
  <c r="T38" i="1"/>
  <c r="T31" i="1"/>
  <c r="T29" i="1"/>
  <c r="T27" i="1"/>
  <c r="T26" i="1"/>
  <c r="T66" i="1"/>
  <c r="T25" i="1"/>
  <c r="Y64" i="1"/>
  <c r="AE34" i="1"/>
  <c r="AK34" i="1" s="1"/>
  <c r="AJ9" i="1"/>
  <c r="AK9" i="1" s="1"/>
  <c r="AP84" i="1"/>
  <c r="AU54" i="1"/>
  <c r="AZ72" i="1"/>
  <c r="BE34" i="1"/>
  <c r="BJ26" i="1"/>
  <c r="BJ94" i="1"/>
  <c r="BO96" i="1"/>
  <c r="Y37" i="1"/>
  <c r="Y101" i="1"/>
  <c r="AE71" i="1"/>
  <c r="AK71" i="1" s="1"/>
  <c r="AJ50" i="1"/>
  <c r="AP66" i="1"/>
  <c r="AU64" i="1"/>
  <c r="AZ53" i="1"/>
  <c r="BE74" i="1"/>
  <c r="Y57" i="1"/>
  <c r="AP86" i="1"/>
  <c r="AZ64" i="1"/>
  <c r="Y41" i="1"/>
  <c r="AE7" i="1"/>
  <c r="AK7" i="1" s="1"/>
  <c r="AJ25" i="1"/>
  <c r="Y69" i="1"/>
  <c r="AE39" i="1"/>
  <c r="AK39" i="1" s="1"/>
  <c r="AJ15" i="1"/>
  <c r="BE19" i="1"/>
  <c r="BJ51" i="1"/>
  <c r="BO23" i="1"/>
  <c r="BO62" i="1"/>
  <c r="BO78" i="1"/>
  <c r="BO38" i="1"/>
  <c r="AE88" i="1"/>
  <c r="AK88" i="1" s="1"/>
  <c r="AP92" i="1"/>
  <c r="AZ96" i="1"/>
  <c r="BJ100" i="1"/>
  <c r="AZ80" i="1"/>
  <c r="BJ84" i="1"/>
  <c r="BJ60" i="1"/>
  <c r="AP18" i="1"/>
  <c r="AZ23" i="1"/>
  <c r="BJ27" i="1"/>
  <c r="AJ82" i="1"/>
  <c r="AU86" i="1"/>
  <c r="BE90" i="1"/>
  <c r="BO94" i="1"/>
  <c r="AK54" i="1" l="1"/>
  <c r="AK19" i="1"/>
  <c r="AK22" i="1"/>
  <c r="AK84" i="1"/>
  <c r="AK16" i="1"/>
  <c r="AK89" i="1"/>
  <c r="AK77" i="1"/>
  <c r="AK90" i="1"/>
  <c r="AK17" i="1"/>
  <c r="AK80" i="1"/>
  <c r="AK64" i="1"/>
  <c r="AK61" i="1"/>
  <c r="AK87" i="1"/>
  <c r="AK82" i="1"/>
  <c r="AK66" i="1"/>
  <c r="AK83" i="1"/>
  <c r="AK76" i="1"/>
  <c r="AK43" i="1"/>
  <c r="AK91" i="1"/>
  <c r="AK46" i="1"/>
  <c r="AK13" i="1"/>
  <c r="AK86" i="1"/>
  <c r="AK79" i="1"/>
  <c r="AK63" i="1"/>
  <c r="AK68" i="1"/>
  <c r="AK49" i="1"/>
  <c r="AK6" i="1"/>
  <c r="AK74" i="1"/>
  <c r="AK44" i="1"/>
  <c r="AK93" i="1"/>
  <c r="AK48" i="1"/>
  <c r="AK50" i="1"/>
  <c r="AK67" i="1"/>
  <c r="AK95" i="1"/>
  <c r="AK42" i="1"/>
  <c r="AK52" i="1"/>
  <c r="AK81" i="1"/>
  <c r="AK45" i="1"/>
  <c r="AK21" i="1"/>
  <c r="AK60" i="1"/>
  <c r="AK10" i="1"/>
  <c r="AK36" i="1"/>
  <c r="AK8" i="1"/>
  <c r="AK35" i="1"/>
  <c r="AK101" i="1"/>
  <c r="AK65" i="1"/>
  <c r="D48" i="1"/>
  <c r="D91" i="1"/>
  <c r="D80" i="1"/>
  <c r="D68" i="1"/>
  <c r="D34" i="1"/>
  <c r="D42" i="1"/>
  <c r="D82" i="1"/>
  <c r="D87" i="1"/>
  <c r="D58" i="1"/>
  <c r="D5" i="1"/>
  <c r="D36" i="1"/>
  <c r="D73" i="1"/>
  <c r="D77" i="1"/>
  <c r="D94" i="1"/>
  <c r="D10" i="1"/>
  <c r="D61" i="1"/>
  <c r="D95" i="1"/>
  <c r="D18" i="1"/>
  <c r="D12" i="1"/>
  <c r="D70" i="1"/>
  <c r="D49" i="1"/>
  <c r="D59" i="1"/>
  <c r="D83" i="1"/>
  <c r="D60" i="1"/>
  <c r="D50" i="1"/>
  <c r="D11" i="1"/>
  <c r="D92" i="1"/>
  <c r="D47" i="1"/>
  <c r="D84" i="1"/>
  <c r="D8" i="1"/>
  <c r="D32" i="1"/>
  <c r="D66" i="1"/>
  <c r="D56" i="1"/>
  <c r="D35" i="1"/>
  <c r="D9" i="1"/>
  <c r="D23" i="1"/>
  <c r="D46" i="1"/>
  <c r="D65" i="1"/>
  <c r="D72" i="1"/>
  <c r="D67" i="1"/>
  <c r="D25" i="1"/>
  <c r="D16" i="1"/>
  <c r="D90" i="1"/>
  <c r="D51" i="1"/>
  <c r="D40" i="1"/>
  <c r="D79" i="1"/>
  <c r="D97" i="1"/>
  <c r="D22" i="1"/>
  <c r="D6" i="1"/>
  <c r="D55" i="1"/>
  <c r="D14" i="1"/>
  <c r="D101" i="1"/>
  <c r="D43" i="1"/>
  <c r="D28" i="1"/>
  <c r="D30" i="1"/>
  <c r="D78" i="1"/>
  <c r="D19" i="1"/>
  <c r="D102" i="1"/>
  <c r="D44" i="1"/>
  <c r="D7" i="1"/>
  <c r="D62" i="1"/>
  <c r="D89" i="1"/>
  <c r="D33" i="1"/>
  <c r="D64" i="1"/>
  <c r="D15" i="1"/>
  <c r="D41" i="1"/>
  <c r="D96" i="1"/>
  <c r="D71" i="1"/>
  <c r="D53" i="1"/>
  <c r="D27" i="1"/>
  <c r="D37" i="1"/>
  <c r="D39" i="1"/>
  <c r="D31" i="1"/>
  <c r="D100" i="1"/>
  <c r="D17" i="1"/>
  <c r="D63" i="1"/>
  <c r="D57" i="1"/>
  <c r="D75" i="1"/>
  <c r="D98" i="1"/>
  <c r="D86" i="1"/>
  <c r="D88" i="1"/>
  <c r="D21" i="1"/>
  <c r="D74" i="1"/>
  <c r="D24" i="1"/>
  <c r="D85" i="1"/>
  <c r="D76" i="1"/>
  <c r="D93" i="1"/>
  <c r="D81" i="1"/>
  <c r="D54" i="1"/>
  <c r="D26" i="1"/>
  <c r="D38" i="1"/>
  <c r="D13" i="1"/>
  <c r="D45" i="1"/>
  <c r="D69" i="1"/>
  <c r="D99" i="1"/>
  <c r="D29" i="1"/>
  <c r="D20" i="1"/>
  <c r="D52" i="1"/>
  <c r="T104" i="1"/>
  <c r="Y104" i="1"/>
  <c r="D104" i="1" l="1"/>
</calcChain>
</file>

<file path=xl/sharedStrings.xml><?xml version="1.0" encoding="utf-8"?>
<sst xmlns="http://schemas.openxmlformats.org/spreadsheetml/2006/main" count="155" uniqueCount="120">
  <si>
    <t>Jméno</t>
  </si>
  <si>
    <t>Os. č.</t>
  </si>
  <si>
    <t>Kč/h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</si>
  <si>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</si>
  <si>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</si>
  <si>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</si>
  <si>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</si>
  <si>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</si>
  <si>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</si>
  <si>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</si>
  <si>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</si>
  <si>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</si>
  <si>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přes.</t>
  </si>
  <si>
    <t>vík.</t>
  </si>
  <si>
    <t>březen</t>
  </si>
  <si>
    <t>ADÁMEK Tomáš</t>
  </si>
  <si>
    <t>ALLI Dominik</t>
  </si>
  <si>
    <t>ALLI Radovan</t>
  </si>
  <si>
    <t>BADŽGOŇ František</t>
  </si>
  <si>
    <t>BALÁT Vladimír</t>
  </si>
  <si>
    <t>BENDA Miroslav</t>
  </si>
  <si>
    <t>BENEŠ Petr</t>
  </si>
  <si>
    <t>BOTOŠ Petr</t>
  </si>
  <si>
    <t>BŘEŽNÝ Michal</t>
  </si>
  <si>
    <t>BŘEŽNÝ Petr</t>
  </si>
  <si>
    <t>ČERVEŇÁK Ján</t>
  </si>
  <si>
    <t>ČUDA Petr</t>
  </si>
  <si>
    <t>DEHNER Jiří</t>
  </si>
  <si>
    <t>DOBEŠ Adam</t>
  </si>
  <si>
    <t>DUDEK Lukáš</t>
  </si>
  <si>
    <t>DUDÍK Petr</t>
  </si>
  <si>
    <t>DVOŘÁK Jaroslav</t>
  </si>
  <si>
    <t>EFFENBERGER Radim</t>
  </si>
  <si>
    <t>EFFENBERGER Tomáš</t>
  </si>
  <si>
    <t>FINSTERLE Pavel</t>
  </si>
  <si>
    <t>FISTR Vladimír</t>
  </si>
  <si>
    <t>FURMÁNEK Zdeněk</t>
  </si>
  <si>
    <t>GAVLÍK Patrik</t>
  </si>
  <si>
    <t>GENGEĽ Peter</t>
  </si>
  <si>
    <t>HAHN Stanislav</t>
  </si>
  <si>
    <t>HANKE Dominik</t>
  </si>
  <si>
    <t>HOMOLA Antonín</t>
  </si>
  <si>
    <t>HUDEČEK Petr</t>
  </si>
  <si>
    <t>CHALOUPKA Dominik</t>
  </si>
  <si>
    <t>CHMELÍČEK Václav</t>
  </si>
  <si>
    <t>CHORINA Ivan</t>
  </si>
  <si>
    <t>INDRAK Jaromír</t>
  </si>
  <si>
    <t>JANDÍK Zdeněk</t>
  </si>
  <si>
    <t>JANEČKA Dalibor</t>
  </si>
  <si>
    <t>KLIMÁNEK Michal</t>
  </si>
  <si>
    <t>KLÍMEK Petr</t>
  </si>
  <si>
    <t>KLUSKA Milan</t>
  </si>
  <si>
    <t>KLUSKA Peter</t>
  </si>
  <si>
    <t>KOLOMIYCHUK Pavlo</t>
  </si>
  <si>
    <t>KOPECKÝ Jaromír</t>
  </si>
  <si>
    <t>KOPŘIVA Radovan</t>
  </si>
  <si>
    <t>KOSEK Miroslav</t>
  </si>
  <si>
    <t>KOVÁČIK Jiří</t>
  </si>
  <si>
    <t>KRETEK René</t>
  </si>
  <si>
    <t>KROČEK Kamil</t>
  </si>
  <si>
    <t>KRYŠTOF Vladislav</t>
  </si>
  <si>
    <t>KUČERA Karel</t>
  </si>
  <si>
    <t>KUKLA Přemysl</t>
  </si>
  <si>
    <t>KUVIK Jiří</t>
  </si>
  <si>
    <t>LIŠKA Jan</t>
  </si>
  <si>
    <t>LOMBÁR Adam</t>
  </si>
  <si>
    <t>LYČKA Tomáš</t>
  </si>
  <si>
    <t>MADRY Vlastimil</t>
  </si>
  <si>
    <t>MACHARA Lukáš</t>
  </si>
  <si>
    <t>MARKOVSKÝ Jan</t>
  </si>
  <si>
    <t>MARSZALÍK Michal</t>
  </si>
  <si>
    <t>MEC Martin</t>
  </si>
  <si>
    <t>MIAVEC Rostislav</t>
  </si>
  <si>
    <t>MICHEL Daniel</t>
  </si>
  <si>
    <t>MUSIL Karel</t>
  </si>
  <si>
    <t>NÁHLÍK František</t>
  </si>
  <si>
    <t>NÁHLÍK Gabriel</t>
  </si>
  <si>
    <t>NOVÁK Martin</t>
  </si>
  <si>
    <t>PAVLÍK Jan</t>
  </si>
  <si>
    <t>PETRAŠKO Milan</t>
  </si>
  <si>
    <t>PETÝREK Miloš</t>
  </si>
  <si>
    <t>POKORNÝ Jan</t>
  </si>
  <si>
    <t>POLÁCH Tomáš</t>
  </si>
  <si>
    <t>PŘEČEK Pavel</t>
  </si>
  <si>
    <t>PUSTKA Karel</t>
  </si>
  <si>
    <t>RAPAN Martin</t>
  </si>
  <si>
    <t>REZEK Robert</t>
  </si>
  <si>
    <t>RUMAN Martin</t>
  </si>
  <si>
    <t>RYCHTR Oldřich</t>
  </si>
  <si>
    <t>SEDLÁČEK Josef</t>
  </si>
  <si>
    <t>SEVERÉNI Pavol</t>
  </si>
  <si>
    <t>SLUKA Petr</t>
  </si>
  <si>
    <t>STANOVSKÝ Roman</t>
  </si>
  <si>
    <t>STAVAŘ Radim</t>
  </si>
  <si>
    <t>STAVAŘ Daniel</t>
  </si>
  <si>
    <t>ŠAMKO Jaroslav</t>
  </si>
  <si>
    <t>ŠČUREK Roman</t>
  </si>
  <si>
    <t>TESLÍK Petr</t>
  </si>
  <si>
    <t>TIC Jakub</t>
  </si>
  <si>
    <t>UHL Ladislav</t>
  </si>
  <si>
    <t>VALO Patrik</t>
  </si>
  <si>
    <t>VASICA Libor</t>
  </si>
  <si>
    <t>VAVERKA Milan</t>
  </si>
  <si>
    <t>VEVERKA Stanislav</t>
  </si>
  <si>
    <t>VRABEC Tomáš</t>
  </si>
  <si>
    <t>VRHEL Miroslav</t>
  </si>
  <si>
    <t>VYBÍRAL Jiří</t>
  </si>
  <si>
    <t>ZDRÁHAL Jiří</t>
  </si>
  <si>
    <t>ZOUHAR Jan</t>
  </si>
  <si>
    <t>celk.</t>
  </si>
  <si>
    <t>BÍLÝ Lubomír</t>
  </si>
  <si>
    <t>DOLEŽAL</t>
  </si>
  <si>
    <t>CARBOL</t>
  </si>
  <si>
    <t>GAJDOŠ</t>
  </si>
  <si>
    <t>leden</t>
  </si>
  <si>
    <t>únor</t>
  </si>
  <si>
    <t>prémie</t>
  </si>
  <si>
    <t>celkem</t>
  </si>
  <si>
    <t>05-06</t>
  </si>
  <si>
    <t>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</si>
</sst>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charset val="238"/>
      <scheme val="minor"/>
    </font>
    <font>
      <b/>
      <u/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9">
    <xf numFmtId="0" fontId="0" fillId="0" borderId="0" xfId="0"/>
    <xf numFmtId="1" fontId="0" fillId="0" borderId="0" xfId="0" applyNumberFormat="1" applyAlignment="1">
      <alignment horizontal="left"/>
    </xf>
    <xf numFmtId="1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164" fontId="0" fillId="0" borderId="0" xfId="0" applyNumberFormat="1"/>
    <xf numFmtId="3" fontId="2" fillId="0" borderId="0" xfId="0" applyNumberFormat="1" applyFont="1"/>
    <xf numFmtId="3" fontId="0" fillId="0" borderId="0" xfId="0" applyNumberFormat="1"/>
    <xf numFmtId="164" fontId="1" fillId="0" borderId="0" xfId="0" applyNumberFormat="1" applyFont="1"/>
    <xf numFmtId="0" fontId="2" fillId="0" borderId="1" xfId="0" applyFont="1" applyBorder="1"/>
    <xf numFmtId="3" fontId="4" fillId="2" borderId="1" xfId="0" applyNumberFormat="1" applyFont="1" applyFill="1" applyBorder="1"/>
    <xf numFmtId="3" fontId="5" fillId="2" borderId="1" xfId="0" applyNumberFormat="1" applyFont="1" applyFill="1" applyBorder="1"/>
    <xf numFmtId="0" fontId="7" fillId="0" borderId="0" xfId="0" applyFont="1"/>
    <xf numFmtId="9" fontId="7" fillId="0" borderId="0" xfId="1" applyFont="1" applyAlignment="1">
      <alignment horizontal="right"/>
    </xf>
    <xf numFmtId="3" fontId="8" fillId="2" borderId="1" xfId="0" applyNumberFormat="1" applyFont="1" applyFill="1" applyBorder="1"/>
    <xf numFmtId="3" fontId="2" fillId="0" borderId="1" xfId="0" applyNumberFormat="1" applyFont="1" applyBorder="1"/>
    <xf numFmtId="164" fontId="2" fillId="0" borderId="2" xfId="0" applyNumberFormat="1" applyFont="1" applyBorder="1"/>
    <xf numFmtId="164" fontId="0" fillId="0" borderId="2" xfId="0" applyNumberFormat="1" applyBorder="1"/>
    <xf numFmtId="164" fontId="1" fillId="0" borderId="2" xfId="0" applyNumberFormat="1" applyFont="1" applyBorder="1"/>
    <xf numFmtId="3" fontId="8" fillId="0" borderId="0" xfId="0" applyNumberFormat="1" applyFont="1"/>
    <xf numFmtId="3" fontId="8" fillId="0" borderId="1" xfId="0" applyNumberFormat="1" applyFont="1" applyBorder="1"/>
    <xf numFmtId="3" fontId="4" fillId="2" borderId="0" xfId="0" applyNumberFormat="1" applyFont="1" applyFill="1" applyBorder="1"/>
    <xf numFmtId="3" fontId="5" fillId="2" borderId="0" xfId="0" applyNumberFormat="1" applyFont="1" applyFill="1" applyBorder="1"/>
    <xf numFmtId="3" fontId="8" fillId="2" borderId="0" xfId="0" applyNumberFormat="1" applyFont="1" applyFill="1" applyBorder="1"/>
    <xf numFmtId="3" fontId="5" fillId="3" borderId="1" xfId="0" applyNumberFormat="1" applyFont="1" applyFill="1" applyBorder="1"/>
    <xf numFmtId="3" fontId="4" fillId="3" borderId="1" xfId="0" applyNumberFormat="1" applyFont="1" applyFill="1" applyBorder="1"/>
    <xf numFmtId="49" fontId="4" fillId="3" borderId="1" xfId="0" applyNumberFormat="1" applyFont="1" applyFill="1" applyBorder="1"/>
    <xf numFmtId="3" fontId="8" fillId="3" borderId="1" xfId="0" applyNumberFormat="1" applyFont="1" applyFill="1" applyBorder="1"/>
  </cellXfs>
  <cellStyles count="2">
    <cellStyle name="Normální" xfId="0" builtinId="0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2:BO104"/>
  <sheetViews>
    <sheetView tabSelected="1" workbookViewId="0">
      <selection activeCell="S13" sqref="S13"/>
    </sheetView>
  </sheetViews>
  <sheetFormatPr defaultRowHeight="15" x14ac:dyDescent="0.25"/>
  <cols>
    <col min="1" max="1" width="21.7109375" customWidth="1"/>
    <col min="2" max="2" width="5.7109375" bestFit="1" customWidth="1"/>
    <col min="3" max="3" width="6.28515625" customWidth="1"/>
    <col min="4" max="4" width="7.42578125" style="3" bestFit="1" customWidth="1"/>
    <col min="5" max="5" width="2.7109375" style="10" customWidth="1"/>
    <col min="6" max="6" width="5.7109375" style="18" customWidth="1"/>
    <col min="7" max="7" width="5.7109375" style="6" customWidth="1"/>
    <col min="8" max="9" width="5.7109375" style="8" customWidth="1"/>
    <col min="10" max="10" width="5.7109375" style="12" customWidth="1"/>
    <col min="11" max="12" width="5.7109375" style="6" customWidth="1"/>
    <col min="13" max="14" width="5.7109375" style="8" customWidth="1"/>
    <col min="15" max="15" width="5.7109375" style="12" customWidth="1"/>
    <col min="16" max="17" width="5.7109375" style="6" customWidth="1"/>
    <col min="18" max="19" width="5.7109375" style="8" customWidth="1"/>
    <col min="20" max="20" width="7.42578125" style="12" bestFit="1" customWidth="1"/>
    <col min="21" max="22" width="5.7109375" style="6" customWidth="1"/>
    <col min="23" max="24" width="5.7109375" style="8" customWidth="1"/>
    <col min="25" max="25" width="6.5703125" style="23" customWidth="1"/>
    <col min="26" max="26" width="6.5703125" style="25" customWidth="1"/>
    <col min="27" max="28" width="5.7109375" style="6" customWidth="1"/>
    <col min="29" max="30" width="5.7109375" style="8" customWidth="1"/>
    <col min="31" max="31" width="5.7109375" style="12" customWidth="1"/>
    <col min="32" max="33" width="5.7109375" style="6" customWidth="1"/>
    <col min="34" max="35" width="5.7109375" style="8" customWidth="1"/>
    <col min="36" max="36" width="5.7109375" style="23" customWidth="1"/>
    <col min="37" max="37" width="6.5703125" style="25" customWidth="1"/>
    <col min="38" max="39" width="5.7109375" style="6" customWidth="1"/>
    <col min="40" max="41" width="5.7109375" style="8" customWidth="1"/>
    <col min="42" max="42" width="5.7109375" style="12" customWidth="1"/>
    <col min="43" max="44" width="5.7109375" style="6" customWidth="1"/>
    <col min="45" max="46" width="5.7109375" style="8" customWidth="1"/>
    <col min="47" max="47" width="5.7109375" style="12" customWidth="1"/>
    <col min="48" max="49" width="5.7109375" style="6" customWidth="1"/>
    <col min="50" max="51" width="5.7109375" style="8" customWidth="1"/>
    <col min="52" max="52" width="5.7109375" style="12" customWidth="1"/>
    <col min="53" max="54" width="5.7109375" style="6" customWidth="1"/>
    <col min="55" max="56" width="5.7109375" style="8" customWidth="1"/>
    <col min="57" max="57" width="5.7109375" style="12" customWidth="1"/>
    <col min="58" max="59" width="5.7109375" style="6" customWidth="1"/>
    <col min="60" max="61" width="5.7109375" style="8" customWidth="1"/>
    <col min="62" max="62" width="5.7109375" style="12" customWidth="1"/>
    <col min="63" max="64" width="5.7109375" style="6" customWidth="1"/>
    <col min="65" max="66" width="5.7109375" style="8" customWidth="1"/>
    <col min="67" max="67" width="5.7109375" style="12" customWidth="1"/>
    <col min="68" max="16384" width="9.140625" style="6"/>
  </cols>
  <sheetData>
    <row r="2" spans="1:67" s="5" customFormat="1" x14ac:dyDescent="0.25">
      <c r="A2" s="3" t="s">
        <v>0</v>
      </c>
      <c r="B2" s="2" t="s">
        <v>1</v>
      </c>
      <c r="C2" s="4" t="s">
        <v>2</v>
      </c>
      <c r="D2" s="3" t="s">
        <v>117</v>
      </c>
      <c r="E2" s="10"/>
      <c r="F2" s="17" t="s">
        <v>114</v>
      </c>
      <c r="H2" s="7"/>
      <c r="I2" s="7"/>
      <c r="J2" s="11"/>
      <c r="K2" s="5" t="s">
        <v>115</v>
      </c>
      <c r="M2" s="7"/>
      <c r="N2" s="7"/>
      <c r="O2" s="11"/>
      <c r="P2" s="5" t="s">
        <v>14</v>
      </c>
      <c r="R2" s="7"/>
      <c r="S2" s="7"/>
      <c r="T2" s="11"/>
      <c r="U2" s="5" t="s">
        <v>3</v>
      </c>
      <c r="W2" s="7"/>
      <c r="X2" s="7"/>
      <c r="Y2" s="22"/>
      <c r="Z2" s="26" t="s">
        <v>109</v>
      </c>
      <c r="AA2" s="5" t="s">
        <v>4</v>
      </c>
      <c r="AC2" s="7"/>
      <c r="AD2" s="7"/>
      <c r="AE2" s="11"/>
      <c r="AF2" s="5" t="s">
        <v>5</v>
      </c>
      <c r="AH2" s="7"/>
      <c r="AI2" s="7"/>
      <c r="AJ2" s="22"/>
      <c r="AK2" s="26" t="s">
        <v>109</v>
      </c>
      <c r="AL2" s="5" t="s">
        <v>6</v>
      </c>
      <c r="AN2" s="7"/>
      <c r="AO2" s="7"/>
      <c r="AP2" s="11"/>
      <c r="AQ2" s="5" t="s">
        <v>7</v>
      </c>
      <c r="AS2" s="7"/>
      <c r="AT2" s="7"/>
      <c r="AU2" s="11"/>
      <c r="AV2" s="5" t="s">
        <v>8</v>
      </c>
      <c r="AX2" s="7"/>
      <c r="AY2" s="7"/>
      <c r="AZ2" s="11"/>
      <c r="BA2" s="5" t="s">
        <v>9</v>
      </c>
      <c r="BC2" s="7"/>
      <c r="BD2" s="7"/>
      <c r="BE2" s="11"/>
      <c r="BF2" s="5" t="s">
        <v>10</v>
      </c>
      <c r="BH2" s="7"/>
      <c r="BI2" s="7"/>
      <c r="BJ2" s="11"/>
      <c r="BK2" s="5" t="s">
        <v>11</v>
      </c>
      <c r="BM2" s="7"/>
      <c r="BN2" s="7"/>
      <c r="BO2" s="11"/>
    </row>
    <row r="3" spans="1:67" x14ac:dyDescent="0.25">
      <c r="A3" s="13" t="s">
        <v>116</v>
      </c>
      <c r="B3" s="14">
        <v>0.1</v>
      </c>
      <c r="F3" s="18" t="s">
        <v>12</v>
      </c>
      <c r="G3" s="6" t="s">
        <v>13</v>
      </c>
      <c r="J3" s="11" t="s">
        <v>109</v>
      </c>
      <c r="K3" s="6" t="s">
        <v>12</v>
      </c>
      <c r="L3" s="6" t="s">
        <v>13</v>
      </c>
      <c r="O3" s="11" t="s">
        <v>109</v>
      </c>
      <c r="P3" s="6" t="s">
        <v>12</v>
      </c>
      <c r="Q3" s="6" t="s">
        <v>13</v>
      </c>
      <c r="T3" s="11" t="s">
        <v>109</v>
      </c>
      <c r="U3" s="6" t="s">
        <v>12</v>
      </c>
      <c r="V3" s="6" t="s">
        <v>13</v>
      </c>
      <c r="Y3" s="22" t="s">
        <v>109</v>
      </c>
      <c r="Z3" s="27" t="s">
        <v>119</v>
      </c>
      <c r="AA3" s="6" t="s">
        <v>12</v>
      </c>
      <c r="AB3" s="6" t="s">
        <v>13</v>
      </c>
      <c r="AE3" s="11" t="s">
        <v>109</v>
      </c>
      <c r="AF3" s="6" t="s">
        <v>12</v>
      </c>
      <c r="AG3" s="6" t="s">
        <v>13</v>
      </c>
      <c r="AJ3" s="22" t="s">
        <v>109</v>
      </c>
      <c r="AK3" s="27" t="s">
        <v>118</v>
      </c>
      <c r="AL3" s="6" t="s">
        <v>12</v>
      </c>
      <c r="AM3" s="6" t="s">
        <v>13</v>
      </c>
      <c r="AP3" s="11" t="s">
        <v>109</v>
      </c>
      <c r="AQ3" s="6" t="s">
        <v>12</v>
      </c>
      <c r="AR3" s="6" t="s">
        <v>13</v>
      </c>
      <c r="AU3" s="11" t="s">
        <v>109</v>
      </c>
      <c r="AV3" s="6" t="s">
        <v>12</v>
      </c>
      <c r="AW3" s="6" t="s">
        <v>13</v>
      </c>
      <c r="AZ3" s="11" t="s">
        <v>109</v>
      </c>
      <c r="BA3" s="6" t="s">
        <v>12</v>
      </c>
      <c r="BB3" s="6" t="s">
        <v>13</v>
      </c>
      <c r="BE3" s="11" t="s">
        <v>109</v>
      </c>
      <c r="BF3" s="6" t="s">
        <v>12</v>
      </c>
      <c r="BG3" s="6" t="s">
        <v>13</v>
      </c>
      <c r="BJ3" s="11" t="s">
        <v>109</v>
      </c>
      <c r="BK3" s="6" t="s">
        <v>12</v>
      </c>
      <c r="BL3" s="6" t="s">
        <v>13</v>
      </c>
      <c r="BO3" s="11" t="s">
        <v>109</v>
      </c>
    </row>
    <row r="4" spans="1:67" x14ac:dyDescent="0.25">
      <c r="B4" s="1"/>
    </row>
    <row r="5" spans="1:67" x14ac:dyDescent="0.25">
      <c r="A5" t="s">
        <v>15</v>
      </c>
      <c r="B5" s="1">
        <v>1697</v>
      </c>
      <c r="C5">
        <v>200</v>
      </c>
      <c r="D5" s="7">
        <f t="shared" ref="D5:D36" si="0">J5+O5+T5+Y5+AE5+AJ5+AP5+AU5+AZ5+BE5+BJ5+BO5</f>
        <v>2480</v>
      </c>
      <c r="E5" s="16"/>
      <c r="F5" s="19"/>
      <c r="G5" s="9"/>
      <c r="H5" s="7">
        <f>ROUND($C5*(1+$B$3)*F5*0.25,-1)</f>
        <v>0</v>
      </c>
      <c r="I5" s="7">
        <f>ROUND($C5*(1+$B$3)*G5*0.5,-1)</f>
        <v>0</v>
      </c>
      <c r="J5" s="11">
        <f t="shared" ref="J5:J68" si="1">ROUND(H5+I5,-1)</f>
        <v>0</v>
      </c>
      <c r="K5" s="9"/>
      <c r="L5" s="9"/>
      <c r="M5" s="7">
        <f>ROUND($C5*(1+$B$3)*K5*0.25,-1)</f>
        <v>0</v>
      </c>
      <c r="N5" s="7">
        <f>ROUND($C5*(1+$B$3)*L5*0.5,-1)</f>
        <v>0</v>
      </c>
      <c r="O5" s="11">
        <f t="shared" ref="O5:O68" si="2">ROUND(M5+N5,-1)</f>
        <v>0</v>
      </c>
      <c r="P5" s="9"/>
      <c r="Q5" s="9">
        <v>15</v>
      </c>
      <c r="R5" s="7">
        <f>ROUND($C5*(1+$B$3)*P5*0.25,-1)</f>
        <v>0</v>
      </c>
      <c r="S5" s="7">
        <f>ROUND($C5*(1+$B$3)*Q5*0.5,-1)</f>
        <v>1650</v>
      </c>
      <c r="T5" s="11">
        <f t="shared" ref="T5:T36" si="3">ROUND(R5+S5,-1)</f>
        <v>1650</v>
      </c>
      <c r="U5" s="9"/>
      <c r="V5" s="9">
        <v>7.5</v>
      </c>
      <c r="W5" s="7">
        <f>ROUND($C5*(1+$B$3)*U5*0.25,-1)</f>
        <v>0</v>
      </c>
      <c r="X5" s="7">
        <f>ROUND($C5*(1+$B$3)*V5*0.5,-1)</f>
        <v>830</v>
      </c>
      <c r="Y5" s="22">
        <f t="shared" ref="Y5:Y36" si="4">ROUND(W5+X5,-1)</f>
        <v>830</v>
      </c>
      <c r="Z5" s="26">
        <f>T5+Y5</f>
        <v>2480</v>
      </c>
      <c r="AA5" s="9"/>
      <c r="AB5" s="9"/>
      <c r="AC5" s="7">
        <f>ROUND($C5*(1+$B$3)*AA5*0.25,-1)</f>
        <v>0</v>
      </c>
      <c r="AD5" s="7">
        <f>ROUND($C5*(1+$B$3)*AB5*0.5,-1)</f>
        <v>0</v>
      </c>
      <c r="AE5" s="11">
        <f t="shared" ref="AE5:AE36" si="5">ROUND(AC5+AD5,-1)</f>
        <v>0</v>
      </c>
      <c r="AF5" s="9"/>
      <c r="AG5" s="9"/>
      <c r="AH5" s="7">
        <f>ROUND($C5*(1+$B$3)*AF5*0.25,-1)</f>
        <v>0</v>
      </c>
      <c r="AI5" s="7">
        <f>ROUND($C5*(1+$B$3)*AG5*0.5,-1)</f>
        <v>0</v>
      </c>
      <c r="AJ5" s="22">
        <f t="shared" ref="AJ5:AJ36" si="6">ROUND(AH5+AI5,-1)</f>
        <v>0</v>
      </c>
      <c r="AK5" s="26">
        <f>AE5+AJ5</f>
        <v>0</v>
      </c>
      <c r="AL5" s="9"/>
      <c r="AM5" s="9"/>
      <c r="AN5" s="7">
        <f>ROUND($C5*(1+$B$3)*AL5*0.25,-1)</f>
        <v>0</v>
      </c>
      <c r="AO5" s="7">
        <f>ROUND($C5*(1+$B$3)*AM5*0.5,-1)</f>
        <v>0</v>
      </c>
      <c r="AP5" s="11">
        <f t="shared" ref="AP5:AP36" si="7">ROUND(AN5+AO5,-1)</f>
        <v>0</v>
      </c>
      <c r="AQ5" s="9"/>
      <c r="AR5" s="9"/>
      <c r="AS5" s="7">
        <f>ROUND($C5*(1+$B$3)*AQ5*0.25,-1)</f>
        <v>0</v>
      </c>
      <c r="AT5" s="7">
        <f>ROUND($C5*(1+$B$3)*AR5*0.5,-1)</f>
        <v>0</v>
      </c>
      <c r="AU5" s="11">
        <f t="shared" ref="AU5:AU36" si="8">ROUND(AS5+AT5,-1)</f>
        <v>0</v>
      </c>
      <c r="AV5" s="9"/>
      <c r="AW5" s="9"/>
      <c r="AX5" s="7">
        <f>ROUND($C5*(1+$B$3)*AV5*0.25,-1)</f>
        <v>0</v>
      </c>
      <c r="AY5" s="7">
        <f>ROUND($C5*(1+$B$3)*AW5*0.5,-1)</f>
        <v>0</v>
      </c>
      <c r="AZ5" s="11">
        <f t="shared" ref="AZ5:AZ36" si="9">ROUND(AX5+AY5,-1)</f>
        <v>0</v>
      </c>
      <c r="BA5" s="9"/>
      <c r="BB5" s="9"/>
      <c r="BC5" s="7">
        <f>ROUND($C5*(1+$B$3)*BA5*0.25,-1)</f>
        <v>0</v>
      </c>
      <c r="BD5" s="7">
        <f>ROUND($C5*(1+$B$3)*BB5*0.5,-1)</f>
        <v>0</v>
      </c>
      <c r="BE5" s="11">
        <f t="shared" ref="BE5:BE36" si="10">ROUND(BC5+BD5,-1)</f>
        <v>0</v>
      </c>
      <c r="BF5" s="9"/>
      <c r="BG5" s="9"/>
      <c r="BH5" s="7">
        <f>ROUND($C5*(1+$B$3)*BF5*0.25,-1)</f>
        <v>0</v>
      </c>
      <c r="BI5" s="7">
        <f>ROUND($C5*(1+$B$3)*BG5*0.5,-1)</f>
        <v>0</v>
      </c>
      <c r="BJ5" s="11">
        <f t="shared" ref="BJ5:BJ36" si="11">ROUND(BH5+BI5,-1)</f>
        <v>0</v>
      </c>
      <c r="BK5" s="9"/>
      <c r="BL5" s="9"/>
      <c r="BM5" s="7">
        <f>ROUND($C5*(1+$B$3)*BK5*0.25,-1)</f>
        <v>0</v>
      </c>
      <c r="BN5" s="7">
        <f>ROUND($C5*(1+$B$3)*BL5*0.5,-1)</f>
        <v>0</v>
      </c>
      <c r="BO5" s="11">
        <f t="shared" ref="BO5:BO36" si="12">ROUND(BM5+BN5,-1)</f>
        <v>0</v>
      </c>
    </row>
    <row r="6" spans="1:67" x14ac:dyDescent="0.25">
      <c r="A6" t="s">
        <v>16</v>
      </c>
      <c r="B6" s="1">
        <v>1596</v>
      </c>
      <c r="C6">
        <v>200</v>
      </c>
      <c r="D6" s="7">
        <f t="shared" si="0"/>
        <v>0</v>
      </c>
      <c r="E6" s="16"/>
      <c r="F6" s="19"/>
      <c r="G6" s="9"/>
      <c r="H6" s="7">
        <f t="shared" ref="H6:H69" si="13">ROUND($C6*(1+$B$3)*F6*0.25,-1)</f>
        <v>0</v>
      </c>
      <c r="I6" s="7">
        <f t="shared" ref="I6:I69" si="14">ROUND($C6*(1+$B$3)*G6*0.5,-1)</f>
        <v>0</v>
      </c>
      <c r="J6" s="11">
        <f t="shared" si="1"/>
        <v>0</v>
      </c>
      <c r="K6" s="9"/>
      <c r="L6" s="9"/>
      <c r="M6" s="7">
        <f t="shared" ref="M6:M69" si="15">ROUND($C6*(1+$B$3)*K6*0.25,-1)</f>
        <v>0</v>
      </c>
      <c r="N6" s="7">
        <f t="shared" ref="N6:N69" si="16">ROUND($C6*(1+$B$3)*L6*0.5,-1)</f>
        <v>0</v>
      </c>
      <c r="O6" s="11">
        <f t="shared" si="2"/>
        <v>0</v>
      </c>
      <c r="P6" s="9"/>
      <c r="Q6" s="9"/>
      <c r="R6" s="7">
        <f t="shared" ref="R6:R69" si="17">ROUND($C6*(1+$B$3)*P6*0.25,-1)</f>
        <v>0</v>
      </c>
      <c r="S6" s="7">
        <f t="shared" ref="S6:S69" si="18">ROUND($C6*(1+$B$3)*Q6*0.5,-1)</f>
        <v>0</v>
      </c>
      <c r="T6" s="11">
        <f t="shared" si="3"/>
        <v>0</v>
      </c>
      <c r="U6" s="9"/>
      <c r="V6" s="9"/>
      <c r="W6" s="7">
        <f t="shared" ref="W6:W69" si="19">ROUND($C6*(1+$B$3)*U6*0.25,-1)</f>
        <v>0</v>
      </c>
      <c r="X6" s="7">
        <f t="shared" ref="X6:X69" si="20">ROUND($C6*(1+$B$3)*V6*0.5,-1)</f>
        <v>0</v>
      </c>
      <c r="Y6" s="22">
        <f t="shared" si="4"/>
        <v>0</v>
      </c>
      <c r="Z6" s="26">
        <f t="shared" ref="Z6:Z69" si="21">T6+Y6</f>
        <v>0</v>
      </c>
      <c r="AA6" s="9"/>
      <c r="AB6" s="9"/>
      <c r="AC6" s="7">
        <f t="shared" ref="AC6:AC69" si="22">ROUND($C6*(1+$B$3)*AA6*0.25,-1)</f>
        <v>0</v>
      </c>
      <c r="AD6" s="7">
        <f t="shared" ref="AD6:AD69" si="23">ROUND($C6*(1+$B$3)*AB6*0.5,-1)</f>
        <v>0</v>
      </c>
      <c r="AE6" s="11">
        <f t="shared" si="5"/>
        <v>0</v>
      </c>
      <c r="AF6" s="9"/>
      <c r="AG6" s="9"/>
      <c r="AH6" s="7">
        <f t="shared" ref="AH6:AH69" si="24">ROUND($C6*(1+$B$3)*AF6*0.25,-1)</f>
        <v>0</v>
      </c>
      <c r="AI6" s="7">
        <f t="shared" ref="AI6:AI69" si="25">ROUND($C6*(1+$B$3)*AG6*0.5,-1)</f>
        <v>0</v>
      </c>
      <c r="AJ6" s="22">
        <f t="shared" si="6"/>
        <v>0</v>
      </c>
      <c r="AK6" s="26">
        <f t="shared" ref="AK6:AK69" si="26">AE6+AJ6</f>
        <v>0</v>
      </c>
      <c r="AL6" s="9"/>
      <c r="AM6" s="9"/>
      <c r="AN6" s="7">
        <f t="shared" ref="AN6:AN69" si="27">ROUND($C6*(1+$B$3)*AL6*0.25,-1)</f>
        <v>0</v>
      </c>
      <c r="AO6" s="7">
        <f t="shared" ref="AO6:AO69" si="28">ROUND($C6*(1+$B$3)*AM6*0.5,-1)</f>
        <v>0</v>
      </c>
      <c r="AP6" s="11">
        <f t="shared" si="7"/>
        <v>0</v>
      </c>
      <c r="AQ6" s="9"/>
      <c r="AR6" s="9"/>
      <c r="AS6" s="7">
        <f t="shared" ref="AS6:AS69" si="29">ROUND($C6*(1+$B$3)*AQ6*0.25,-1)</f>
        <v>0</v>
      </c>
      <c r="AT6" s="7">
        <f t="shared" ref="AT6:AT69" si="30">ROUND($C6*(1+$B$3)*AR6*0.5,-1)</f>
        <v>0</v>
      </c>
      <c r="AU6" s="11">
        <f t="shared" si="8"/>
        <v>0</v>
      </c>
      <c r="AV6" s="9"/>
      <c r="AW6" s="9"/>
      <c r="AX6" s="7">
        <f t="shared" ref="AX6:AX69" si="31">ROUND($C6*(1+$B$3)*AV6*0.25,-1)</f>
        <v>0</v>
      </c>
      <c r="AY6" s="7">
        <f t="shared" ref="AY6:AY69" si="32">ROUND($C6*(1+$B$3)*AW6*0.5,-1)</f>
        <v>0</v>
      </c>
      <c r="AZ6" s="11">
        <f t="shared" si="9"/>
        <v>0</v>
      </c>
      <c r="BA6" s="9"/>
      <c r="BB6" s="9"/>
      <c r="BC6" s="7">
        <f t="shared" ref="BC6:BC69" si="33">ROUND($C6*(1+$B$3)*BA6*0.25,-1)</f>
        <v>0</v>
      </c>
      <c r="BD6" s="7">
        <f t="shared" ref="BD6:BD69" si="34">ROUND($C6*(1+$B$3)*BB6*0.5,-1)</f>
        <v>0</v>
      </c>
      <c r="BE6" s="11">
        <f t="shared" si="10"/>
        <v>0</v>
      </c>
      <c r="BF6" s="9"/>
      <c r="BG6" s="9"/>
      <c r="BH6" s="7">
        <f t="shared" ref="BH6:BH69" si="35">ROUND($C6*(1+$B$3)*BF6*0.25,-1)</f>
        <v>0</v>
      </c>
      <c r="BI6" s="7">
        <f t="shared" ref="BI6:BI69" si="36">ROUND($C6*(1+$B$3)*BG6*0.5,-1)</f>
        <v>0</v>
      </c>
      <c r="BJ6" s="11">
        <f t="shared" si="11"/>
        <v>0</v>
      </c>
      <c r="BK6" s="9"/>
      <c r="BL6" s="9"/>
      <c r="BM6" s="7">
        <f t="shared" ref="BM6:BM69" si="37">ROUND($C6*(1+$B$3)*BK6*0.25,-1)</f>
        <v>0</v>
      </c>
      <c r="BN6" s="7">
        <f t="shared" ref="BN6:BN69" si="38">ROUND($C6*(1+$B$3)*BL6*0.5,-1)</f>
        <v>0</v>
      </c>
      <c r="BO6" s="11">
        <f t="shared" si="12"/>
        <v>0</v>
      </c>
    </row>
    <row r="7" spans="1:67" x14ac:dyDescent="0.25">
      <c r="A7" t="s">
        <v>17</v>
      </c>
      <c r="B7" s="1">
        <v>1703</v>
      </c>
      <c r="C7">
        <v>215</v>
      </c>
      <c r="D7" s="7">
        <f t="shared" si="0"/>
        <v>0</v>
      </c>
      <c r="E7" s="16"/>
      <c r="F7" s="19"/>
      <c r="G7" s="9"/>
      <c r="H7" s="7">
        <f t="shared" si="13"/>
        <v>0</v>
      </c>
      <c r="I7" s="7">
        <f t="shared" si="14"/>
        <v>0</v>
      </c>
      <c r="J7" s="11">
        <f t="shared" si="1"/>
        <v>0</v>
      </c>
      <c r="K7" s="9"/>
      <c r="L7" s="9"/>
      <c r="M7" s="7">
        <f t="shared" si="15"/>
        <v>0</v>
      </c>
      <c r="N7" s="7">
        <f t="shared" si="16"/>
        <v>0</v>
      </c>
      <c r="O7" s="11">
        <f t="shared" si="2"/>
        <v>0</v>
      </c>
      <c r="P7" s="9"/>
      <c r="Q7" s="9"/>
      <c r="R7" s="7">
        <f t="shared" si="17"/>
        <v>0</v>
      </c>
      <c r="S7" s="7">
        <f t="shared" si="18"/>
        <v>0</v>
      </c>
      <c r="T7" s="11">
        <f t="shared" si="3"/>
        <v>0</v>
      </c>
      <c r="U7" s="9"/>
      <c r="V7" s="9"/>
      <c r="W7" s="7">
        <f t="shared" si="19"/>
        <v>0</v>
      </c>
      <c r="X7" s="7">
        <f t="shared" si="20"/>
        <v>0</v>
      </c>
      <c r="Y7" s="22">
        <f t="shared" si="4"/>
        <v>0</v>
      </c>
      <c r="Z7" s="26">
        <f t="shared" si="21"/>
        <v>0</v>
      </c>
      <c r="AA7" s="9"/>
      <c r="AB7" s="9"/>
      <c r="AC7" s="7">
        <f t="shared" si="22"/>
        <v>0</v>
      </c>
      <c r="AD7" s="7">
        <f t="shared" si="23"/>
        <v>0</v>
      </c>
      <c r="AE7" s="11">
        <f t="shared" si="5"/>
        <v>0</v>
      </c>
      <c r="AF7" s="9"/>
      <c r="AG7" s="9"/>
      <c r="AH7" s="7">
        <f t="shared" si="24"/>
        <v>0</v>
      </c>
      <c r="AI7" s="7">
        <f t="shared" si="25"/>
        <v>0</v>
      </c>
      <c r="AJ7" s="22">
        <f t="shared" si="6"/>
        <v>0</v>
      </c>
      <c r="AK7" s="26">
        <f t="shared" si="26"/>
        <v>0</v>
      </c>
      <c r="AL7" s="9"/>
      <c r="AM7" s="9"/>
      <c r="AN7" s="7">
        <f t="shared" si="27"/>
        <v>0</v>
      </c>
      <c r="AO7" s="7">
        <f t="shared" si="28"/>
        <v>0</v>
      </c>
      <c r="AP7" s="11">
        <f t="shared" si="7"/>
        <v>0</v>
      </c>
      <c r="AQ7" s="9"/>
      <c r="AR7" s="9"/>
      <c r="AS7" s="7">
        <f t="shared" si="29"/>
        <v>0</v>
      </c>
      <c r="AT7" s="7">
        <f t="shared" si="30"/>
        <v>0</v>
      </c>
      <c r="AU7" s="11">
        <f t="shared" si="8"/>
        <v>0</v>
      </c>
      <c r="AV7" s="9"/>
      <c r="AW7" s="9"/>
      <c r="AX7" s="7">
        <f t="shared" si="31"/>
        <v>0</v>
      </c>
      <c r="AY7" s="7">
        <f t="shared" si="32"/>
        <v>0</v>
      </c>
      <c r="AZ7" s="11">
        <f t="shared" si="9"/>
        <v>0</v>
      </c>
      <c r="BA7" s="9"/>
      <c r="BB7" s="9"/>
      <c r="BC7" s="7">
        <f t="shared" si="33"/>
        <v>0</v>
      </c>
      <c r="BD7" s="7">
        <f t="shared" si="34"/>
        <v>0</v>
      </c>
      <c r="BE7" s="11">
        <f t="shared" si="10"/>
        <v>0</v>
      </c>
      <c r="BF7" s="9"/>
      <c r="BG7" s="9"/>
      <c r="BH7" s="7">
        <f t="shared" si="35"/>
        <v>0</v>
      </c>
      <c r="BI7" s="7">
        <f t="shared" si="36"/>
        <v>0</v>
      </c>
      <c r="BJ7" s="11">
        <f t="shared" si="11"/>
        <v>0</v>
      </c>
      <c r="BK7" s="9"/>
      <c r="BL7" s="9"/>
      <c r="BM7" s="7">
        <f t="shared" si="37"/>
        <v>0</v>
      </c>
      <c r="BN7" s="7">
        <f t="shared" si="38"/>
        <v>0</v>
      </c>
      <c r="BO7" s="11">
        <f t="shared" si="12"/>
        <v>0</v>
      </c>
    </row>
    <row r="8" spans="1:67" x14ac:dyDescent="0.25">
      <c r="A8" t="s">
        <v>18</v>
      </c>
      <c r="B8" s="1">
        <v>1702</v>
      </c>
      <c r="C8">
        <v>215</v>
      </c>
      <c r="D8" s="7">
        <f t="shared" si="0"/>
        <v>890</v>
      </c>
      <c r="E8" s="16"/>
      <c r="F8" s="19"/>
      <c r="G8" s="9"/>
      <c r="H8" s="7">
        <f t="shared" si="13"/>
        <v>0</v>
      </c>
      <c r="I8" s="7">
        <f t="shared" si="14"/>
        <v>0</v>
      </c>
      <c r="J8" s="11">
        <f t="shared" si="1"/>
        <v>0</v>
      </c>
      <c r="K8" s="9"/>
      <c r="L8" s="9"/>
      <c r="M8" s="7">
        <f t="shared" si="15"/>
        <v>0</v>
      </c>
      <c r="N8" s="7">
        <f t="shared" si="16"/>
        <v>0</v>
      </c>
      <c r="O8" s="11">
        <f t="shared" si="2"/>
        <v>0</v>
      </c>
      <c r="P8" s="9"/>
      <c r="Q8" s="9">
        <v>7.5</v>
      </c>
      <c r="R8" s="7">
        <f t="shared" si="17"/>
        <v>0</v>
      </c>
      <c r="S8" s="7">
        <f t="shared" si="18"/>
        <v>890</v>
      </c>
      <c r="T8" s="11">
        <f t="shared" si="3"/>
        <v>890</v>
      </c>
      <c r="U8" s="9"/>
      <c r="V8" s="9"/>
      <c r="W8" s="7">
        <f t="shared" si="19"/>
        <v>0</v>
      </c>
      <c r="X8" s="7">
        <f t="shared" si="20"/>
        <v>0</v>
      </c>
      <c r="Y8" s="22">
        <f t="shared" si="4"/>
        <v>0</v>
      </c>
      <c r="Z8" s="26">
        <f t="shared" si="21"/>
        <v>890</v>
      </c>
      <c r="AA8" s="9"/>
      <c r="AB8" s="9"/>
      <c r="AC8" s="7">
        <f t="shared" si="22"/>
        <v>0</v>
      </c>
      <c r="AD8" s="7">
        <f t="shared" si="23"/>
        <v>0</v>
      </c>
      <c r="AE8" s="11">
        <f t="shared" si="5"/>
        <v>0</v>
      </c>
      <c r="AF8" s="9"/>
      <c r="AG8" s="9"/>
      <c r="AH8" s="7">
        <f t="shared" si="24"/>
        <v>0</v>
      </c>
      <c r="AI8" s="7">
        <f t="shared" si="25"/>
        <v>0</v>
      </c>
      <c r="AJ8" s="22">
        <f t="shared" si="6"/>
        <v>0</v>
      </c>
      <c r="AK8" s="26">
        <f t="shared" si="26"/>
        <v>0</v>
      </c>
      <c r="AL8" s="9"/>
      <c r="AM8" s="9"/>
      <c r="AN8" s="7">
        <f t="shared" si="27"/>
        <v>0</v>
      </c>
      <c r="AO8" s="7">
        <f t="shared" si="28"/>
        <v>0</v>
      </c>
      <c r="AP8" s="11">
        <f t="shared" si="7"/>
        <v>0</v>
      </c>
      <c r="AQ8" s="9"/>
      <c r="AR8" s="9"/>
      <c r="AS8" s="7">
        <f t="shared" si="29"/>
        <v>0</v>
      </c>
      <c r="AT8" s="7">
        <f t="shared" si="30"/>
        <v>0</v>
      </c>
      <c r="AU8" s="11">
        <f t="shared" si="8"/>
        <v>0</v>
      </c>
      <c r="AV8" s="9"/>
      <c r="AW8" s="9"/>
      <c r="AX8" s="7">
        <f t="shared" si="31"/>
        <v>0</v>
      </c>
      <c r="AY8" s="7">
        <f t="shared" si="32"/>
        <v>0</v>
      </c>
      <c r="AZ8" s="11">
        <f t="shared" si="9"/>
        <v>0</v>
      </c>
      <c r="BA8" s="9"/>
      <c r="BB8" s="9"/>
      <c r="BC8" s="7">
        <f t="shared" si="33"/>
        <v>0</v>
      </c>
      <c r="BD8" s="7">
        <f t="shared" si="34"/>
        <v>0</v>
      </c>
      <c r="BE8" s="11">
        <f t="shared" si="10"/>
        <v>0</v>
      </c>
      <c r="BF8" s="9"/>
      <c r="BG8" s="9"/>
      <c r="BH8" s="7">
        <f t="shared" si="35"/>
        <v>0</v>
      </c>
      <c r="BI8" s="7">
        <f t="shared" si="36"/>
        <v>0</v>
      </c>
      <c r="BJ8" s="11">
        <f t="shared" si="11"/>
        <v>0</v>
      </c>
      <c r="BK8" s="9"/>
      <c r="BL8" s="9"/>
      <c r="BM8" s="7">
        <f t="shared" si="37"/>
        <v>0</v>
      </c>
      <c r="BN8" s="7">
        <f t="shared" si="38"/>
        <v>0</v>
      </c>
      <c r="BO8" s="11">
        <f t="shared" si="12"/>
        <v>0</v>
      </c>
    </row>
    <row r="9" spans="1:67" x14ac:dyDescent="0.25">
      <c r="A9" t="s">
        <v>19</v>
      </c>
      <c r="B9" s="1">
        <v>1243</v>
      </c>
      <c r="C9">
        <v>230</v>
      </c>
      <c r="D9" s="7">
        <f t="shared" si="0"/>
        <v>2850</v>
      </c>
      <c r="E9" s="16"/>
      <c r="F9" s="19"/>
      <c r="G9" s="9"/>
      <c r="H9" s="7">
        <f t="shared" si="13"/>
        <v>0</v>
      </c>
      <c r="I9" s="7">
        <f t="shared" si="14"/>
        <v>0</v>
      </c>
      <c r="J9" s="11">
        <f t="shared" si="1"/>
        <v>0</v>
      </c>
      <c r="K9" s="9"/>
      <c r="L9" s="9"/>
      <c r="M9" s="7">
        <f t="shared" si="15"/>
        <v>0</v>
      </c>
      <c r="N9" s="7">
        <f t="shared" si="16"/>
        <v>0</v>
      </c>
      <c r="O9" s="11">
        <f t="shared" si="2"/>
        <v>0</v>
      </c>
      <c r="P9" s="9"/>
      <c r="Q9" s="9">
        <v>15</v>
      </c>
      <c r="R9" s="7">
        <f t="shared" si="17"/>
        <v>0</v>
      </c>
      <c r="S9" s="7">
        <f t="shared" si="18"/>
        <v>1900</v>
      </c>
      <c r="T9" s="11">
        <f t="shared" si="3"/>
        <v>1900</v>
      </c>
      <c r="U9" s="9"/>
      <c r="V9" s="9">
        <v>7.5</v>
      </c>
      <c r="W9" s="7">
        <f t="shared" si="19"/>
        <v>0</v>
      </c>
      <c r="X9" s="7">
        <f t="shared" si="20"/>
        <v>950</v>
      </c>
      <c r="Y9" s="22">
        <f t="shared" si="4"/>
        <v>950</v>
      </c>
      <c r="Z9" s="26">
        <f t="shared" si="21"/>
        <v>2850</v>
      </c>
      <c r="AA9" s="9"/>
      <c r="AB9" s="9"/>
      <c r="AC9" s="7">
        <f t="shared" si="22"/>
        <v>0</v>
      </c>
      <c r="AD9" s="7">
        <f t="shared" si="23"/>
        <v>0</v>
      </c>
      <c r="AE9" s="11">
        <f t="shared" si="5"/>
        <v>0</v>
      </c>
      <c r="AF9" s="9"/>
      <c r="AG9" s="9"/>
      <c r="AH9" s="7">
        <f t="shared" si="24"/>
        <v>0</v>
      </c>
      <c r="AI9" s="7">
        <f t="shared" si="25"/>
        <v>0</v>
      </c>
      <c r="AJ9" s="22">
        <f t="shared" si="6"/>
        <v>0</v>
      </c>
      <c r="AK9" s="26">
        <f t="shared" si="26"/>
        <v>0</v>
      </c>
      <c r="AL9" s="9"/>
      <c r="AM9" s="9"/>
      <c r="AN9" s="7">
        <f t="shared" si="27"/>
        <v>0</v>
      </c>
      <c r="AO9" s="7">
        <f t="shared" si="28"/>
        <v>0</v>
      </c>
      <c r="AP9" s="11">
        <f t="shared" si="7"/>
        <v>0</v>
      </c>
      <c r="AQ9" s="9"/>
      <c r="AR9" s="9"/>
      <c r="AS9" s="7">
        <f t="shared" si="29"/>
        <v>0</v>
      </c>
      <c r="AT9" s="7">
        <f t="shared" si="30"/>
        <v>0</v>
      </c>
      <c r="AU9" s="11">
        <f t="shared" si="8"/>
        <v>0</v>
      </c>
      <c r="AV9" s="9"/>
      <c r="AW9" s="9"/>
      <c r="AX9" s="7">
        <f t="shared" si="31"/>
        <v>0</v>
      </c>
      <c r="AY9" s="7">
        <f t="shared" si="32"/>
        <v>0</v>
      </c>
      <c r="AZ9" s="11">
        <f t="shared" si="9"/>
        <v>0</v>
      </c>
      <c r="BA9" s="9"/>
      <c r="BB9" s="9"/>
      <c r="BC9" s="7">
        <f t="shared" si="33"/>
        <v>0</v>
      </c>
      <c r="BD9" s="7">
        <f t="shared" si="34"/>
        <v>0</v>
      </c>
      <c r="BE9" s="11">
        <f t="shared" si="10"/>
        <v>0</v>
      </c>
      <c r="BF9" s="9"/>
      <c r="BG9" s="9"/>
      <c r="BH9" s="7">
        <f t="shared" si="35"/>
        <v>0</v>
      </c>
      <c r="BI9" s="7">
        <f t="shared" si="36"/>
        <v>0</v>
      </c>
      <c r="BJ9" s="11">
        <f t="shared" si="11"/>
        <v>0</v>
      </c>
      <c r="BK9" s="9"/>
      <c r="BL9" s="9"/>
      <c r="BM9" s="7">
        <f t="shared" si="37"/>
        <v>0</v>
      </c>
      <c r="BN9" s="7">
        <f t="shared" si="38"/>
        <v>0</v>
      </c>
      <c r="BO9" s="11">
        <f t="shared" si="12"/>
        <v>0</v>
      </c>
    </row>
    <row r="10" spans="1:67" x14ac:dyDescent="0.25">
      <c r="A10" t="s">
        <v>20</v>
      </c>
      <c r="B10" s="1">
        <v>1113</v>
      </c>
      <c r="C10">
        <v>245</v>
      </c>
      <c r="D10" s="7">
        <f t="shared" si="0"/>
        <v>0</v>
      </c>
      <c r="E10" s="16"/>
      <c r="F10" s="19"/>
      <c r="G10" s="9"/>
      <c r="H10" s="7">
        <f t="shared" si="13"/>
        <v>0</v>
      </c>
      <c r="I10" s="7">
        <f t="shared" si="14"/>
        <v>0</v>
      </c>
      <c r="J10" s="11">
        <f t="shared" si="1"/>
        <v>0</v>
      </c>
      <c r="K10" s="9"/>
      <c r="L10" s="9"/>
      <c r="M10" s="7">
        <f t="shared" si="15"/>
        <v>0</v>
      </c>
      <c r="N10" s="7">
        <f t="shared" si="16"/>
        <v>0</v>
      </c>
      <c r="O10" s="11">
        <f t="shared" si="2"/>
        <v>0</v>
      </c>
      <c r="P10" s="9"/>
      <c r="Q10" s="9"/>
      <c r="R10" s="7">
        <f t="shared" si="17"/>
        <v>0</v>
      </c>
      <c r="S10" s="7">
        <f t="shared" si="18"/>
        <v>0</v>
      </c>
      <c r="T10" s="11">
        <f t="shared" si="3"/>
        <v>0</v>
      </c>
      <c r="U10" s="9"/>
      <c r="V10" s="9"/>
      <c r="W10" s="7">
        <f t="shared" si="19"/>
        <v>0</v>
      </c>
      <c r="X10" s="7">
        <f t="shared" si="20"/>
        <v>0</v>
      </c>
      <c r="Y10" s="22">
        <f t="shared" si="4"/>
        <v>0</v>
      </c>
      <c r="Z10" s="26">
        <f t="shared" si="21"/>
        <v>0</v>
      </c>
      <c r="AA10" s="9"/>
      <c r="AB10" s="9"/>
      <c r="AC10" s="7">
        <f t="shared" si="22"/>
        <v>0</v>
      </c>
      <c r="AD10" s="7">
        <f t="shared" si="23"/>
        <v>0</v>
      </c>
      <c r="AE10" s="11">
        <f t="shared" si="5"/>
        <v>0</v>
      </c>
      <c r="AF10" s="9"/>
      <c r="AG10" s="9"/>
      <c r="AH10" s="7">
        <f t="shared" si="24"/>
        <v>0</v>
      </c>
      <c r="AI10" s="7">
        <f t="shared" si="25"/>
        <v>0</v>
      </c>
      <c r="AJ10" s="22">
        <f t="shared" si="6"/>
        <v>0</v>
      </c>
      <c r="AK10" s="26">
        <f t="shared" si="26"/>
        <v>0</v>
      </c>
      <c r="AL10" s="9"/>
      <c r="AM10" s="9"/>
      <c r="AN10" s="7">
        <f t="shared" si="27"/>
        <v>0</v>
      </c>
      <c r="AO10" s="7">
        <f t="shared" si="28"/>
        <v>0</v>
      </c>
      <c r="AP10" s="11">
        <f t="shared" si="7"/>
        <v>0</v>
      </c>
      <c r="AQ10" s="9"/>
      <c r="AR10" s="9"/>
      <c r="AS10" s="7">
        <f t="shared" si="29"/>
        <v>0</v>
      </c>
      <c r="AT10" s="7">
        <f t="shared" si="30"/>
        <v>0</v>
      </c>
      <c r="AU10" s="11">
        <f t="shared" si="8"/>
        <v>0</v>
      </c>
      <c r="AV10" s="9"/>
      <c r="AW10" s="9"/>
      <c r="AX10" s="7">
        <f t="shared" si="31"/>
        <v>0</v>
      </c>
      <c r="AY10" s="7">
        <f t="shared" si="32"/>
        <v>0</v>
      </c>
      <c r="AZ10" s="11">
        <f t="shared" si="9"/>
        <v>0</v>
      </c>
      <c r="BA10" s="9"/>
      <c r="BB10" s="9"/>
      <c r="BC10" s="7">
        <f t="shared" si="33"/>
        <v>0</v>
      </c>
      <c r="BD10" s="7">
        <f t="shared" si="34"/>
        <v>0</v>
      </c>
      <c r="BE10" s="11">
        <f t="shared" si="10"/>
        <v>0</v>
      </c>
      <c r="BF10" s="9"/>
      <c r="BG10" s="9"/>
      <c r="BH10" s="7">
        <f t="shared" si="35"/>
        <v>0</v>
      </c>
      <c r="BI10" s="7">
        <f t="shared" si="36"/>
        <v>0</v>
      </c>
      <c r="BJ10" s="11">
        <f t="shared" si="11"/>
        <v>0</v>
      </c>
      <c r="BK10" s="9"/>
      <c r="BL10" s="9"/>
      <c r="BM10" s="7">
        <f t="shared" si="37"/>
        <v>0</v>
      </c>
      <c r="BN10" s="7">
        <f t="shared" si="38"/>
        <v>0</v>
      </c>
      <c r="BO10" s="11">
        <f t="shared" si="12"/>
        <v>0</v>
      </c>
    </row>
    <row r="11" spans="1:67" x14ac:dyDescent="0.25">
      <c r="A11" t="s">
        <v>21</v>
      </c>
      <c r="B11" s="1">
        <v>1280</v>
      </c>
      <c r="C11">
        <v>245</v>
      </c>
      <c r="D11" s="7">
        <f t="shared" si="0"/>
        <v>200</v>
      </c>
      <c r="E11" s="16"/>
      <c r="F11" s="19"/>
      <c r="G11" s="9"/>
      <c r="H11" s="7">
        <f t="shared" si="13"/>
        <v>0</v>
      </c>
      <c r="I11" s="7">
        <f t="shared" si="14"/>
        <v>0</v>
      </c>
      <c r="J11" s="11">
        <f t="shared" si="1"/>
        <v>0</v>
      </c>
      <c r="K11" s="9"/>
      <c r="L11" s="9"/>
      <c r="M11" s="7">
        <f t="shared" si="15"/>
        <v>0</v>
      </c>
      <c r="N11" s="7">
        <f t="shared" si="16"/>
        <v>0</v>
      </c>
      <c r="O11" s="11">
        <f t="shared" si="2"/>
        <v>0</v>
      </c>
      <c r="P11" s="9">
        <v>3</v>
      </c>
      <c r="Q11" s="9"/>
      <c r="R11" s="7">
        <f t="shared" si="17"/>
        <v>200</v>
      </c>
      <c r="S11" s="7">
        <f t="shared" si="18"/>
        <v>0</v>
      </c>
      <c r="T11" s="11">
        <f t="shared" si="3"/>
        <v>200</v>
      </c>
      <c r="U11" s="9"/>
      <c r="V11" s="9"/>
      <c r="W11" s="7">
        <f t="shared" si="19"/>
        <v>0</v>
      </c>
      <c r="X11" s="7">
        <f t="shared" si="20"/>
        <v>0</v>
      </c>
      <c r="Y11" s="22">
        <f t="shared" si="4"/>
        <v>0</v>
      </c>
      <c r="Z11" s="26">
        <f t="shared" si="21"/>
        <v>200</v>
      </c>
      <c r="AA11" s="9"/>
      <c r="AB11" s="9"/>
      <c r="AC11" s="7">
        <f t="shared" si="22"/>
        <v>0</v>
      </c>
      <c r="AD11" s="7">
        <f t="shared" si="23"/>
        <v>0</v>
      </c>
      <c r="AE11" s="11">
        <f t="shared" si="5"/>
        <v>0</v>
      </c>
      <c r="AF11" s="9"/>
      <c r="AG11" s="9"/>
      <c r="AH11" s="7">
        <f t="shared" si="24"/>
        <v>0</v>
      </c>
      <c r="AI11" s="7">
        <f t="shared" si="25"/>
        <v>0</v>
      </c>
      <c r="AJ11" s="22">
        <f t="shared" si="6"/>
        <v>0</v>
      </c>
      <c r="AK11" s="26">
        <f t="shared" si="26"/>
        <v>0</v>
      </c>
      <c r="AL11" s="9"/>
      <c r="AM11" s="9"/>
      <c r="AN11" s="7">
        <f t="shared" si="27"/>
        <v>0</v>
      </c>
      <c r="AO11" s="7">
        <f t="shared" si="28"/>
        <v>0</v>
      </c>
      <c r="AP11" s="11">
        <f t="shared" si="7"/>
        <v>0</v>
      </c>
      <c r="AQ11" s="9"/>
      <c r="AR11" s="9"/>
      <c r="AS11" s="7">
        <f t="shared" si="29"/>
        <v>0</v>
      </c>
      <c r="AT11" s="7">
        <f t="shared" si="30"/>
        <v>0</v>
      </c>
      <c r="AU11" s="11">
        <f t="shared" si="8"/>
        <v>0</v>
      </c>
      <c r="AV11" s="9"/>
      <c r="AW11" s="9"/>
      <c r="AX11" s="7">
        <f t="shared" si="31"/>
        <v>0</v>
      </c>
      <c r="AY11" s="7">
        <f t="shared" si="32"/>
        <v>0</v>
      </c>
      <c r="AZ11" s="11">
        <f t="shared" si="9"/>
        <v>0</v>
      </c>
      <c r="BA11" s="9"/>
      <c r="BB11" s="9"/>
      <c r="BC11" s="7">
        <f t="shared" si="33"/>
        <v>0</v>
      </c>
      <c r="BD11" s="7">
        <f t="shared" si="34"/>
        <v>0</v>
      </c>
      <c r="BE11" s="11">
        <f t="shared" si="10"/>
        <v>0</v>
      </c>
      <c r="BF11" s="9"/>
      <c r="BG11" s="9"/>
      <c r="BH11" s="7">
        <f t="shared" si="35"/>
        <v>0</v>
      </c>
      <c r="BI11" s="7">
        <f t="shared" si="36"/>
        <v>0</v>
      </c>
      <c r="BJ11" s="11">
        <f t="shared" si="11"/>
        <v>0</v>
      </c>
      <c r="BK11" s="9"/>
      <c r="BL11" s="9"/>
      <c r="BM11" s="7">
        <f t="shared" si="37"/>
        <v>0</v>
      </c>
      <c r="BN11" s="7">
        <f t="shared" si="38"/>
        <v>0</v>
      </c>
      <c r="BO11" s="11">
        <f t="shared" si="12"/>
        <v>0</v>
      </c>
    </row>
    <row r="12" spans="1:67" x14ac:dyDescent="0.25">
      <c r="A12" t="s">
        <v>110</v>
      </c>
      <c r="B12" s="1">
        <v>1725</v>
      </c>
      <c r="C12">
        <v>215</v>
      </c>
      <c r="D12" s="7">
        <f t="shared" si="0"/>
        <v>210</v>
      </c>
      <c r="E12" s="16"/>
      <c r="H12" s="7">
        <f t="shared" si="13"/>
        <v>0</v>
      </c>
      <c r="I12" s="7">
        <f t="shared" si="14"/>
        <v>0</v>
      </c>
      <c r="J12" s="12">
        <f t="shared" si="1"/>
        <v>0</v>
      </c>
      <c r="M12" s="7">
        <f t="shared" si="15"/>
        <v>0</v>
      </c>
      <c r="N12" s="7">
        <f t="shared" si="16"/>
        <v>0</v>
      </c>
      <c r="O12" s="12">
        <f t="shared" si="2"/>
        <v>0</v>
      </c>
      <c r="R12" s="7">
        <f t="shared" si="17"/>
        <v>0</v>
      </c>
      <c r="S12" s="7">
        <f t="shared" si="18"/>
        <v>0</v>
      </c>
      <c r="T12" s="12">
        <f t="shared" si="3"/>
        <v>0</v>
      </c>
      <c r="U12" s="6">
        <v>3.5</v>
      </c>
      <c r="W12" s="7">
        <f t="shared" si="19"/>
        <v>210</v>
      </c>
      <c r="X12" s="7">
        <f t="shared" si="20"/>
        <v>0</v>
      </c>
      <c r="Y12" s="23">
        <f t="shared" si="4"/>
        <v>210</v>
      </c>
      <c r="Z12" s="26">
        <f t="shared" si="21"/>
        <v>210</v>
      </c>
      <c r="AC12" s="7">
        <f t="shared" si="22"/>
        <v>0</v>
      </c>
      <c r="AD12" s="7">
        <f t="shared" si="23"/>
        <v>0</v>
      </c>
      <c r="AE12" s="12">
        <f t="shared" si="5"/>
        <v>0</v>
      </c>
      <c r="AH12" s="7">
        <f t="shared" si="24"/>
        <v>0</v>
      </c>
      <c r="AI12" s="7">
        <f t="shared" si="25"/>
        <v>0</v>
      </c>
      <c r="AJ12" s="23">
        <f t="shared" si="6"/>
        <v>0</v>
      </c>
      <c r="AK12" s="26">
        <f t="shared" si="26"/>
        <v>0</v>
      </c>
      <c r="AN12" s="7">
        <f t="shared" si="27"/>
        <v>0</v>
      </c>
      <c r="AO12" s="7">
        <f t="shared" si="28"/>
        <v>0</v>
      </c>
      <c r="AP12" s="12">
        <f t="shared" si="7"/>
        <v>0</v>
      </c>
      <c r="AS12" s="7">
        <f t="shared" si="29"/>
        <v>0</v>
      </c>
      <c r="AT12" s="7">
        <f t="shared" si="30"/>
        <v>0</v>
      </c>
      <c r="AU12" s="12">
        <f t="shared" si="8"/>
        <v>0</v>
      </c>
      <c r="AX12" s="7">
        <f t="shared" si="31"/>
        <v>0</v>
      </c>
      <c r="AY12" s="7">
        <f t="shared" si="32"/>
        <v>0</v>
      </c>
      <c r="AZ12" s="12">
        <f t="shared" si="9"/>
        <v>0</v>
      </c>
      <c r="BC12" s="7">
        <f t="shared" si="33"/>
        <v>0</v>
      </c>
      <c r="BD12" s="7">
        <f t="shared" si="34"/>
        <v>0</v>
      </c>
      <c r="BE12" s="12">
        <f t="shared" si="10"/>
        <v>0</v>
      </c>
      <c r="BH12" s="7">
        <f t="shared" si="35"/>
        <v>0</v>
      </c>
      <c r="BI12" s="7">
        <f t="shared" si="36"/>
        <v>0</v>
      </c>
      <c r="BJ12" s="12">
        <f t="shared" si="11"/>
        <v>0</v>
      </c>
      <c r="BM12" s="7">
        <f t="shared" si="37"/>
        <v>0</v>
      </c>
      <c r="BN12" s="7">
        <f t="shared" si="38"/>
        <v>0</v>
      </c>
      <c r="BO12" s="12">
        <f t="shared" si="12"/>
        <v>0</v>
      </c>
    </row>
    <row r="13" spans="1:67" x14ac:dyDescent="0.25">
      <c r="A13" t="s">
        <v>22</v>
      </c>
      <c r="B13" s="1">
        <v>1559</v>
      </c>
      <c r="C13">
        <v>200</v>
      </c>
      <c r="D13" s="7">
        <f t="shared" si="0"/>
        <v>1650</v>
      </c>
      <c r="E13" s="16"/>
      <c r="F13" s="19"/>
      <c r="G13" s="9"/>
      <c r="H13" s="7">
        <f t="shared" si="13"/>
        <v>0</v>
      </c>
      <c r="I13" s="7">
        <f t="shared" si="14"/>
        <v>0</v>
      </c>
      <c r="J13" s="11">
        <f t="shared" si="1"/>
        <v>0</v>
      </c>
      <c r="K13" s="9"/>
      <c r="L13" s="9"/>
      <c r="M13" s="7">
        <f t="shared" si="15"/>
        <v>0</v>
      </c>
      <c r="N13" s="7">
        <f t="shared" si="16"/>
        <v>0</v>
      </c>
      <c r="O13" s="11">
        <f t="shared" si="2"/>
        <v>0</v>
      </c>
      <c r="P13" s="9"/>
      <c r="Q13" s="9">
        <v>15</v>
      </c>
      <c r="R13" s="7">
        <f t="shared" si="17"/>
        <v>0</v>
      </c>
      <c r="S13" s="7">
        <f t="shared" si="18"/>
        <v>1650</v>
      </c>
      <c r="T13" s="11">
        <f t="shared" si="3"/>
        <v>1650</v>
      </c>
      <c r="U13" s="9"/>
      <c r="V13" s="9"/>
      <c r="W13" s="7">
        <f t="shared" si="19"/>
        <v>0</v>
      </c>
      <c r="X13" s="7">
        <f t="shared" si="20"/>
        <v>0</v>
      </c>
      <c r="Y13" s="22">
        <f t="shared" si="4"/>
        <v>0</v>
      </c>
      <c r="Z13" s="26">
        <f t="shared" si="21"/>
        <v>1650</v>
      </c>
      <c r="AA13" s="9"/>
      <c r="AB13" s="9"/>
      <c r="AC13" s="7">
        <f t="shared" si="22"/>
        <v>0</v>
      </c>
      <c r="AD13" s="7">
        <f t="shared" si="23"/>
        <v>0</v>
      </c>
      <c r="AE13" s="11">
        <f t="shared" si="5"/>
        <v>0</v>
      </c>
      <c r="AF13" s="9"/>
      <c r="AG13" s="9"/>
      <c r="AH13" s="7">
        <f t="shared" si="24"/>
        <v>0</v>
      </c>
      <c r="AI13" s="7">
        <f t="shared" si="25"/>
        <v>0</v>
      </c>
      <c r="AJ13" s="22">
        <f t="shared" si="6"/>
        <v>0</v>
      </c>
      <c r="AK13" s="26">
        <f t="shared" si="26"/>
        <v>0</v>
      </c>
      <c r="AL13" s="9"/>
      <c r="AM13" s="9"/>
      <c r="AN13" s="7">
        <f t="shared" si="27"/>
        <v>0</v>
      </c>
      <c r="AO13" s="7">
        <f t="shared" si="28"/>
        <v>0</v>
      </c>
      <c r="AP13" s="11">
        <f t="shared" si="7"/>
        <v>0</v>
      </c>
      <c r="AQ13" s="9"/>
      <c r="AR13" s="9"/>
      <c r="AS13" s="7">
        <f t="shared" si="29"/>
        <v>0</v>
      </c>
      <c r="AT13" s="7">
        <f t="shared" si="30"/>
        <v>0</v>
      </c>
      <c r="AU13" s="11">
        <f t="shared" si="8"/>
        <v>0</v>
      </c>
      <c r="AV13" s="9"/>
      <c r="AW13" s="9"/>
      <c r="AX13" s="7">
        <f t="shared" si="31"/>
        <v>0</v>
      </c>
      <c r="AY13" s="7">
        <f t="shared" si="32"/>
        <v>0</v>
      </c>
      <c r="AZ13" s="11">
        <f t="shared" si="9"/>
        <v>0</v>
      </c>
      <c r="BA13" s="9"/>
      <c r="BB13" s="9"/>
      <c r="BC13" s="7">
        <f t="shared" si="33"/>
        <v>0</v>
      </c>
      <c r="BD13" s="7">
        <f t="shared" si="34"/>
        <v>0</v>
      </c>
      <c r="BE13" s="11">
        <f t="shared" si="10"/>
        <v>0</v>
      </c>
      <c r="BF13" s="9"/>
      <c r="BG13" s="9"/>
      <c r="BH13" s="7">
        <f t="shared" si="35"/>
        <v>0</v>
      </c>
      <c r="BI13" s="7">
        <f t="shared" si="36"/>
        <v>0</v>
      </c>
      <c r="BJ13" s="11">
        <f t="shared" si="11"/>
        <v>0</v>
      </c>
      <c r="BK13" s="9"/>
      <c r="BL13" s="9"/>
      <c r="BM13" s="7">
        <f t="shared" si="37"/>
        <v>0</v>
      </c>
      <c r="BN13" s="7">
        <f t="shared" si="38"/>
        <v>0</v>
      </c>
      <c r="BO13" s="11">
        <f t="shared" si="12"/>
        <v>0</v>
      </c>
    </row>
    <row r="14" spans="1:67" x14ac:dyDescent="0.25">
      <c r="A14" t="s">
        <v>23</v>
      </c>
      <c r="B14" s="1">
        <v>1598</v>
      </c>
      <c r="C14">
        <v>215</v>
      </c>
      <c r="D14" s="7">
        <f t="shared" si="0"/>
        <v>3350</v>
      </c>
      <c r="E14" s="16"/>
      <c r="F14" s="19"/>
      <c r="G14" s="9"/>
      <c r="H14" s="7">
        <f t="shared" si="13"/>
        <v>0</v>
      </c>
      <c r="I14" s="7">
        <f t="shared" si="14"/>
        <v>0</v>
      </c>
      <c r="J14" s="11">
        <f t="shared" si="1"/>
        <v>0</v>
      </c>
      <c r="K14" s="9"/>
      <c r="L14" s="9"/>
      <c r="M14" s="7">
        <f t="shared" si="15"/>
        <v>0</v>
      </c>
      <c r="N14" s="7">
        <f t="shared" si="16"/>
        <v>0</v>
      </c>
      <c r="O14" s="11">
        <f t="shared" si="2"/>
        <v>0</v>
      </c>
      <c r="P14" s="9">
        <v>16.5</v>
      </c>
      <c r="Q14" s="9"/>
      <c r="R14" s="7">
        <f t="shared" si="17"/>
        <v>980</v>
      </c>
      <c r="S14" s="7">
        <f t="shared" si="18"/>
        <v>0</v>
      </c>
      <c r="T14" s="11">
        <f t="shared" si="3"/>
        <v>980</v>
      </c>
      <c r="U14" s="9">
        <v>25</v>
      </c>
      <c r="V14" s="9">
        <v>7.5</v>
      </c>
      <c r="W14" s="7">
        <f t="shared" si="19"/>
        <v>1480</v>
      </c>
      <c r="X14" s="7">
        <f t="shared" si="20"/>
        <v>890</v>
      </c>
      <c r="Y14" s="22">
        <f t="shared" si="4"/>
        <v>2370</v>
      </c>
      <c r="Z14" s="26">
        <f t="shared" si="21"/>
        <v>3350</v>
      </c>
      <c r="AA14" s="9"/>
      <c r="AB14" s="9"/>
      <c r="AC14" s="7">
        <f t="shared" si="22"/>
        <v>0</v>
      </c>
      <c r="AD14" s="7">
        <f t="shared" si="23"/>
        <v>0</v>
      </c>
      <c r="AE14" s="11">
        <f t="shared" si="5"/>
        <v>0</v>
      </c>
      <c r="AF14" s="9"/>
      <c r="AG14" s="9"/>
      <c r="AH14" s="7">
        <f t="shared" si="24"/>
        <v>0</v>
      </c>
      <c r="AI14" s="7">
        <f t="shared" si="25"/>
        <v>0</v>
      </c>
      <c r="AJ14" s="22">
        <f t="shared" si="6"/>
        <v>0</v>
      </c>
      <c r="AK14" s="26">
        <f t="shared" si="26"/>
        <v>0</v>
      </c>
      <c r="AL14" s="9"/>
      <c r="AM14" s="9"/>
      <c r="AN14" s="7">
        <f t="shared" si="27"/>
        <v>0</v>
      </c>
      <c r="AO14" s="7">
        <f t="shared" si="28"/>
        <v>0</v>
      </c>
      <c r="AP14" s="11">
        <f t="shared" si="7"/>
        <v>0</v>
      </c>
      <c r="AQ14" s="9"/>
      <c r="AR14" s="9"/>
      <c r="AS14" s="7">
        <f t="shared" si="29"/>
        <v>0</v>
      </c>
      <c r="AT14" s="7">
        <f t="shared" si="30"/>
        <v>0</v>
      </c>
      <c r="AU14" s="11">
        <f t="shared" si="8"/>
        <v>0</v>
      </c>
      <c r="AV14" s="9"/>
      <c r="AW14" s="9"/>
      <c r="AX14" s="7">
        <f t="shared" si="31"/>
        <v>0</v>
      </c>
      <c r="AY14" s="7">
        <f t="shared" si="32"/>
        <v>0</v>
      </c>
      <c r="AZ14" s="11">
        <f t="shared" si="9"/>
        <v>0</v>
      </c>
      <c r="BA14" s="9"/>
      <c r="BB14" s="9"/>
      <c r="BC14" s="7">
        <f t="shared" si="33"/>
        <v>0</v>
      </c>
      <c r="BD14" s="7">
        <f t="shared" si="34"/>
        <v>0</v>
      </c>
      <c r="BE14" s="11">
        <f t="shared" si="10"/>
        <v>0</v>
      </c>
      <c r="BF14" s="9"/>
      <c r="BG14" s="9"/>
      <c r="BH14" s="7">
        <f t="shared" si="35"/>
        <v>0</v>
      </c>
      <c r="BI14" s="7">
        <f t="shared" si="36"/>
        <v>0</v>
      </c>
      <c r="BJ14" s="11">
        <f t="shared" si="11"/>
        <v>0</v>
      </c>
      <c r="BK14" s="9"/>
      <c r="BL14" s="9"/>
      <c r="BM14" s="7">
        <f t="shared" si="37"/>
        <v>0</v>
      </c>
      <c r="BN14" s="7">
        <f t="shared" si="38"/>
        <v>0</v>
      </c>
      <c r="BO14" s="11">
        <f t="shared" si="12"/>
        <v>0</v>
      </c>
    </row>
    <row r="15" spans="1:67" x14ac:dyDescent="0.25">
      <c r="A15" t="s">
        <v>24</v>
      </c>
      <c r="B15" s="1">
        <v>1555</v>
      </c>
      <c r="C15">
        <v>230</v>
      </c>
      <c r="D15" s="7">
        <f t="shared" si="0"/>
        <v>4810</v>
      </c>
      <c r="E15" s="16"/>
      <c r="F15" s="19"/>
      <c r="G15" s="9"/>
      <c r="H15" s="7">
        <f t="shared" si="13"/>
        <v>0</v>
      </c>
      <c r="I15" s="7">
        <f t="shared" si="14"/>
        <v>0</v>
      </c>
      <c r="J15" s="11">
        <f t="shared" si="1"/>
        <v>0</v>
      </c>
      <c r="K15" s="9"/>
      <c r="L15" s="9"/>
      <c r="M15" s="7">
        <f t="shared" si="15"/>
        <v>0</v>
      </c>
      <c r="N15" s="7">
        <f t="shared" si="16"/>
        <v>0</v>
      </c>
      <c r="O15" s="11">
        <f t="shared" si="2"/>
        <v>0</v>
      </c>
      <c r="P15" s="9">
        <v>27</v>
      </c>
      <c r="Q15" s="9"/>
      <c r="R15" s="7">
        <f t="shared" si="17"/>
        <v>1710</v>
      </c>
      <c r="S15" s="7">
        <f t="shared" si="18"/>
        <v>0</v>
      </c>
      <c r="T15" s="11">
        <f t="shared" si="3"/>
        <v>1710</v>
      </c>
      <c r="U15" s="9">
        <v>32</v>
      </c>
      <c r="V15" s="9">
        <v>8.5</v>
      </c>
      <c r="W15" s="7">
        <f t="shared" si="19"/>
        <v>2020</v>
      </c>
      <c r="X15" s="7">
        <f t="shared" si="20"/>
        <v>1080</v>
      </c>
      <c r="Y15" s="22">
        <f t="shared" si="4"/>
        <v>3100</v>
      </c>
      <c r="Z15" s="26">
        <f t="shared" si="21"/>
        <v>4810</v>
      </c>
      <c r="AA15" s="9"/>
      <c r="AB15" s="9"/>
      <c r="AC15" s="7">
        <f t="shared" si="22"/>
        <v>0</v>
      </c>
      <c r="AD15" s="7">
        <f t="shared" si="23"/>
        <v>0</v>
      </c>
      <c r="AE15" s="11">
        <f t="shared" si="5"/>
        <v>0</v>
      </c>
      <c r="AF15" s="9"/>
      <c r="AG15" s="9"/>
      <c r="AH15" s="7">
        <f t="shared" si="24"/>
        <v>0</v>
      </c>
      <c r="AI15" s="7">
        <f t="shared" si="25"/>
        <v>0</v>
      </c>
      <c r="AJ15" s="22">
        <f t="shared" si="6"/>
        <v>0</v>
      </c>
      <c r="AK15" s="26">
        <f t="shared" si="26"/>
        <v>0</v>
      </c>
      <c r="AL15" s="9"/>
      <c r="AM15" s="9"/>
      <c r="AN15" s="7">
        <f t="shared" si="27"/>
        <v>0</v>
      </c>
      <c r="AO15" s="7">
        <f t="shared" si="28"/>
        <v>0</v>
      </c>
      <c r="AP15" s="11">
        <f t="shared" si="7"/>
        <v>0</v>
      </c>
      <c r="AQ15" s="9"/>
      <c r="AR15" s="9"/>
      <c r="AS15" s="7">
        <f t="shared" si="29"/>
        <v>0</v>
      </c>
      <c r="AT15" s="7">
        <f t="shared" si="30"/>
        <v>0</v>
      </c>
      <c r="AU15" s="11">
        <f t="shared" si="8"/>
        <v>0</v>
      </c>
      <c r="AV15" s="9"/>
      <c r="AW15" s="9"/>
      <c r="AX15" s="7">
        <f t="shared" si="31"/>
        <v>0</v>
      </c>
      <c r="AY15" s="7">
        <f t="shared" si="32"/>
        <v>0</v>
      </c>
      <c r="AZ15" s="11">
        <f t="shared" si="9"/>
        <v>0</v>
      </c>
      <c r="BA15" s="9"/>
      <c r="BB15" s="9"/>
      <c r="BC15" s="7">
        <f t="shared" si="33"/>
        <v>0</v>
      </c>
      <c r="BD15" s="7">
        <f t="shared" si="34"/>
        <v>0</v>
      </c>
      <c r="BE15" s="11">
        <f t="shared" si="10"/>
        <v>0</v>
      </c>
      <c r="BF15" s="9"/>
      <c r="BG15" s="9"/>
      <c r="BH15" s="7">
        <f t="shared" si="35"/>
        <v>0</v>
      </c>
      <c r="BI15" s="7">
        <f t="shared" si="36"/>
        <v>0</v>
      </c>
      <c r="BJ15" s="11">
        <f t="shared" si="11"/>
        <v>0</v>
      </c>
      <c r="BK15" s="9"/>
      <c r="BL15" s="9"/>
      <c r="BM15" s="7">
        <f t="shared" si="37"/>
        <v>0</v>
      </c>
      <c r="BN15" s="7">
        <f t="shared" si="38"/>
        <v>0</v>
      </c>
      <c r="BO15" s="11">
        <f t="shared" si="12"/>
        <v>0</v>
      </c>
    </row>
    <row r="16" spans="1:67" x14ac:dyDescent="0.25">
      <c r="A16" t="s">
        <v>112</v>
      </c>
      <c r="B16" s="1">
        <v>1724</v>
      </c>
      <c r="C16">
        <v>200</v>
      </c>
      <c r="D16" s="7">
        <f t="shared" si="0"/>
        <v>30</v>
      </c>
      <c r="E16" s="16"/>
      <c r="H16" s="7">
        <f t="shared" si="13"/>
        <v>0</v>
      </c>
      <c r="I16" s="7">
        <f t="shared" si="14"/>
        <v>0</v>
      </c>
      <c r="J16" s="12">
        <f t="shared" si="1"/>
        <v>0</v>
      </c>
      <c r="M16" s="7">
        <f t="shared" si="15"/>
        <v>0</v>
      </c>
      <c r="N16" s="7">
        <f t="shared" si="16"/>
        <v>0</v>
      </c>
      <c r="O16" s="12">
        <f t="shared" si="2"/>
        <v>0</v>
      </c>
      <c r="R16" s="7">
        <f t="shared" si="17"/>
        <v>0</v>
      </c>
      <c r="S16" s="7">
        <f t="shared" si="18"/>
        <v>0</v>
      </c>
      <c r="T16" s="12">
        <f t="shared" si="3"/>
        <v>0</v>
      </c>
      <c r="U16" s="6">
        <v>0.5</v>
      </c>
      <c r="W16" s="7">
        <f t="shared" si="19"/>
        <v>30</v>
      </c>
      <c r="X16" s="7">
        <f t="shared" si="20"/>
        <v>0</v>
      </c>
      <c r="Y16" s="23">
        <f t="shared" si="4"/>
        <v>30</v>
      </c>
      <c r="Z16" s="26">
        <f t="shared" si="21"/>
        <v>30</v>
      </c>
      <c r="AC16" s="7">
        <f t="shared" si="22"/>
        <v>0</v>
      </c>
      <c r="AD16" s="7">
        <f t="shared" si="23"/>
        <v>0</v>
      </c>
      <c r="AE16" s="12">
        <f t="shared" si="5"/>
        <v>0</v>
      </c>
      <c r="AH16" s="7">
        <f t="shared" si="24"/>
        <v>0</v>
      </c>
      <c r="AI16" s="7">
        <f t="shared" si="25"/>
        <v>0</v>
      </c>
      <c r="AJ16" s="23">
        <f t="shared" si="6"/>
        <v>0</v>
      </c>
      <c r="AK16" s="26">
        <f t="shared" si="26"/>
        <v>0</v>
      </c>
      <c r="AN16" s="7">
        <f t="shared" si="27"/>
        <v>0</v>
      </c>
      <c r="AO16" s="7">
        <f t="shared" si="28"/>
        <v>0</v>
      </c>
      <c r="AP16" s="12">
        <f t="shared" si="7"/>
        <v>0</v>
      </c>
      <c r="AS16" s="7">
        <f t="shared" si="29"/>
        <v>0</v>
      </c>
      <c r="AT16" s="7">
        <f t="shared" si="30"/>
        <v>0</v>
      </c>
      <c r="AU16" s="12">
        <f t="shared" si="8"/>
        <v>0</v>
      </c>
      <c r="AX16" s="7">
        <f t="shared" si="31"/>
        <v>0</v>
      </c>
      <c r="AY16" s="7">
        <f t="shared" si="32"/>
        <v>0</v>
      </c>
      <c r="AZ16" s="12">
        <f t="shared" si="9"/>
        <v>0</v>
      </c>
      <c r="BC16" s="7">
        <f t="shared" si="33"/>
        <v>0</v>
      </c>
      <c r="BD16" s="7">
        <f t="shared" si="34"/>
        <v>0</v>
      </c>
      <c r="BE16" s="12">
        <f t="shared" si="10"/>
        <v>0</v>
      </c>
      <c r="BH16" s="7">
        <f t="shared" si="35"/>
        <v>0</v>
      </c>
      <c r="BI16" s="7">
        <f t="shared" si="36"/>
        <v>0</v>
      </c>
      <c r="BJ16" s="12">
        <f t="shared" si="11"/>
        <v>0</v>
      </c>
      <c r="BM16" s="7">
        <f t="shared" si="37"/>
        <v>0</v>
      </c>
      <c r="BN16" s="7">
        <f t="shared" si="38"/>
        <v>0</v>
      </c>
      <c r="BO16" s="12">
        <f t="shared" si="12"/>
        <v>0</v>
      </c>
    </row>
    <row r="17" spans="1:67" x14ac:dyDescent="0.25">
      <c r="A17" t="s">
        <v>25</v>
      </c>
      <c r="B17" s="1">
        <v>1706</v>
      </c>
      <c r="C17">
        <v>200</v>
      </c>
      <c r="D17" s="7">
        <f t="shared" si="0"/>
        <v>960</v>
      </c>
      <c r="E17" s="16"/>
      <c r="F17" s="19"/>
      <c r="G17" s="9"/>
      <c r="H17" s="7">
        <f t="shared" si="13"/>
        <v>0</v>
      </c>
      <c r="I17" s="7">
        <f t="shared" si="14"/>
        <v>0</v>
      </c>
      <c r="J17" s="11">
        <f t="shared" si="1"/>
        <v>0</v>
      </c>
      <c r="K17" s="9"/>
      <c r="L17" s="9"/>
      <c r="M17" s="7">
        <f t="shared" si="15"/>
        <v>0</v>
      </c>
      <c r="N17" s="7">
        <f t="shared" si="16"/>
        <v>0</v>
      </c>
      <c r="O17" s="11">
        <f t="shared" si="2"/>
        <v>0</v>
      </c>
      <c r="P17" s="9">
        <v>9.5</v>
      </c>
      <c r="Q17" s="9"/>
      <c r="R17" s="7">
        <f t="shared" si="17"/>
        <v>520</v>
      </c>
      <c r="S17" s="7">
        <f t="shared" si="18"/>
        <v>0</v>
      </c>
      <c r="T17" s="11">
        <f t="shared" si="3"/>
        <v>520</v>
      </c>
      <c r="U17" s="9">
        <v>8</v>
      </c>
      <c r="V17" s="9"/>
      <c r="W17" s="7">
        <f t="shared" si="19"/>
        <v>440</v>
      </c>
      <c r="X17" s="7">
        <f t="shared" si="20"/>
        <v>0</v>
      </c>
      <c r="Y17" s="22">
        <f t="shared" si="4"/>
        <v>440</v>
      </c>
      <c r="Z17" s="26">
        <f t="shared" si="21"/>
        <v>960</v>
      </c>
      <c r="AA17" s="9"/>
      <c r="AB17" s="9"/>
      <c r="AC17" s="7">
        <f t="shared" si="22"/>
        <v>0</v>
      </c>
      <c r="AD17" s="7">
        <f t="shared" si="23"/>
        <v>0</v>
      </c>
      <c r="AE17" s="11">
        <f t="shared" si="5"/>
        <v>0</v>
      </c>
      <c r="AF17" s="9"/>
      <c r="AG17" s="9"/>
      <c r="AH17" s="7">
        <f t="shared" si="24"/>
        <v>0</v>
      </c>
      <c r="AI17" s="7">
        <f t="shared" si="25"/>
        <v>0</v>
      </c>
      <c r="AJ17" s="22">
        <f t="shared" si="6"/>
        <v>0</v>
      </c>
      <c r="AK17" s="26">
        <f t="shared" si="26"/>
        <v>0</v>
      </c>
      <c r="AL17" s="9"/>
      <c r="AM17" s="9"/>
      <c r="AN17" s="7">
        <f t="shared" si="27"/>
        <v>0</v>
      </c>
      <c r="AO17" s="7">
        <f t="shared" si="28"/>
        <v>0</v>
      </c>
      <c r="AP17" s="11">
        <f t="shared" si="7"/>
        <v>0</v>
      </c>
      <c r="AQ17" s="9"/>
      <c r="AR17" s="9"/>
      <c r="AS17" s="7">
        <f t="shared" si="29"/>
        <v>0</v>
      </c>
      <c r="AT17" s="7">
        <f t="shared" si="30"/>
        <v>0</v>
      </c>
      <c r="AU17" s="11">
        <f t="shared" si="8"/>
        <v>0</v>
      </c>
      <c r="AV17" s="9"/>
      <c r="AW17" s="9"/>
      <c r="AX17" s="7">
        <f t="shared" si="31"/>
        <v>0</v>
      </c>
      <c r="AY17" s="7">
        <f t="shared" si="32"/>
        <v>0</v>
      </c>
      <c r="AZ17" s="11">
        <f t="shared" si="9"/>
        <v>0</v>
      </c>
      <c r="BA17" s="9"/>
      <c r="BB17" s="9"/>
      <c r="BC17" s="7">
        <f t="shared" si="33"/>
        <v>0</v>
      </c>
      <c r="BD17" s="7">
        <f t="shared" si="34"/>
        <v>0</v>
      </c>
      <c r="BE17" s="11">
        <f t="shared" si="10"/>
        <v>0</v>
      </c>
      <c r="BF17" s="9"/>
      <c r="BG17" s="9"/>
      <c r="BH17" s="7">
        <f t="shared" si="35"/>
        <v>0</v>
      </c>
      <c r="BI17" s="7">
        <f t="shared" si="36"/>
        <v>0</v>
      </c>
      <c r="BJ17" s="11">
        <f t="shared" si="11"/>
        <v>0</v>
      </c>
      <c r="BK17" s="9"/>
      <c r="BL17" s="9"/>
      <c r="BM17" s="7">
        <f t="shared" si="37"/>
        <v>0</v>
      </c>
      <c r="BN17" s="7">
        <f t="shared" si="38"/>
        <v>0</v>
      </c>
      <c r="BO17" s="11">
        <f t="shared" si="12"/>
        <v>0</v>
      </c>
    </row>
    <row r="18" spans="1:67" x14ac:dyDescent="0.25">
      <c r="A18" t="s">
        <v>26</v>
      </c>
      <c r="B18" s="1">
        <v>1634</v>
      </c>
      <c r="C18">
        <v>215</v>
      </c>
      <c r="D18" s="7">
        <f t="shared" si="0"/>
        <v>0</v>
      </c>
      <c r="E18" s="16"/>
      <c r="F18" s="19"/>
      <c r="G18" s="9"/>
      <c r="H18" s="7">
        <f t="shared" si="13"/>
        <v>0</v>
      </c>
      <c r="I18" s="7">
        <f t="shared" si="14"/>
        <v>0</v>
      </c>
      <c r="J18" s="11">
        <f t="shared" si="1"/>
        <v>0</v>
      </c>
      <c r="K18" s="9"/>
      <c r="L18" s="9"/>
      <c r="M18" s="7">
        <f t="shared" si="15"/>
        <v>0</v>
      </c>
      <c r="N18" s="7">
        <f t="shared" si="16"/>
        <v>0</v>
      </c>
      <c r="O18" s="11">
        <f t="shared" si="2"/>
        <v>0</v>
      </c>
      <c r="P18" s="9"/>
      <c r="Q18" s="9"/>
      <c r="R18" s="7">
        <f t="shared" si="17"/>
        <v>0</v>
      </c>
      <c r="S18" s="7">
        <f t="shared" si="18"/>
        <v>0</v>
      </c>
      <c r="T18" s="11">
        <f t="shared" si="3"/>
        <v>0</v>
      </c>
      <c r="U18" s="9"/>
      <c r="V18" s="9"/>
      <c r="W18" s="7">
        <f t="shared" si="19"/>
        <v>0</v>
      </c>
      <c r="X18" s="7">
        <f t="shared" si="20"/>
        <v>0</v>
      </c>
      <c r="Y18" s="22">
        <f t="shared" si="4"/>
        <v>0</v>
      </c>
      <c r="Z18" s="26">
        <f t="shared" si="21"/>
        <v>0</v>
      </c>
      <c r="AA18" s="9"/>
      <c r="AB18" s="9"/>
      <c r="AC18" s="7">
        <f t="shared" si="22"/>
        <v>0</v>
      </c>
      <c r="AD18" s="7">
        <f t="shared" si="23"/>
        <v>0</v>
      </c>
      <c r="AE18" s="11">
        <f t="shared" si="5"/>
        <v>0</v>
      </c>
      <c r="AF18" s="9"/>
      <c r="AG18" s="9"/>
      <c r="AH18" s="7">
        <f t="shared" si="24"/>
        <v>0</v>
      </c>
      <c r="AI18" s="7">
        <f t="shared" si="25"/>
        <v>0</v>
      </c>
      <c r="AJ18" s="22">
        <f t="shared" si="6"/>
        <v>0</v>
      </c>
      <c r="AK18" s="26">
        <f t="shared" si="26"/>
        <v>0</v>
      </c>
      <c r="AL18" s="9"/>
      <c r="AM18" s="9"/>
      <c r="AN18" s="7">
        <f t="shared" si="27"/>
        <v>0</v>
      </c>
      <c r="AO18" s="7">
        <f t="shared" si="28"/>
        <v>0</v>
      </c>
      <c r="AP18" s="11">
        <f t="shared" si="7"/>
        <v>0</v>
      </c>
      <c r="AQ18" s="9"/>
      <c r="AR18" s="9"/>
      <c r="AS18" s="7">
        <f t="shared" si="29"/>
        <v>0</v>
      </c>
      <c r="AT18" s="7">
        <f t="shared" si="30"/>
        <v>0</v>
      </c>
      <c r="AU18" s="11">
        <f t="shared" si="8"/>
        <v>0</v>
      </c>
      <c r="AV18" s="9"/>
      <c r="AW18" s="9"/>
      <c r="AX18" s="7">
        <f t="shared" si="31"/>
        <v>0</v>
      </c>
      <c r="AY18" s="7">
        <f t="shared" si="32"/>
        <v>0</v>
      </c>
      <c r="AZ18" s="11">
        <f t="shared" si="9"/>
        <v>0</v>
      </c>
      <c r="BA18" s="9"/>
      <c r="BB18" s="9"/>
      <c r="BC18" s="7">
        <f t="shared" si="33"/>
        <v>0</v>
      </c>
      <c r="BD18" s="7">
        <f t="shared" si="34"/>
        <v>0</v>
      </c>
      <c r="BE18" s="11">
        <f t="shared" si="10"/>
        <v>0</v>
      </c>
      <c r="BF18" s="9"/>
      <c r="BG18" s="9"/>
      <c r="BH18" s="7">
        <f t="shared" si="35"/>
        <v>0</v>
      </c>
      <c r="BI18" s="7">
        <f t="shared" si="36"/>
        <v>0</v>
      </c>
      <c r="BJ18" s="11">
        <f t="shared" si="11"/>
        <v>0</v>
      </c>
      <c r="BK18" s="9"/>
      <c r="BL18" s="9"/>
      <c r="BM18" s="7">
        <f t="shared" si="37"/>
        <v>0</v>
      </c>
      <c r="BN18" s="7">
        <f t="shared" si="38"/>
        <v>0</v>
      </c>
      <c r="BO18" s="11">
        <f t="shared" si="12"/>
        <v>0</v>
      </c>
    </row>
    <row r="19" spans="1:67" x14ac:dyDescent="0.25">
      <c r="A19" t="s">
        <v>27</v>
      </c>
      <c r="B19" s="1">
        <v>1444</v>
      </c>
      <c r="C19">
        <v>200</v>
      </c>
      <c r="D19" s="7">
        <f t="shared" si="0"/>
        <v>830</v>
      </c>
      <c r="E19" s="16"/>
      <c r="F19" s="19"/>
      <c r="G19" s="9"/>
      <c r="H19" s="7">
        <f t="shared" si="13"/>
        <v>0</v>
      </c>
      <c r="I19" s="7">
        <f t="shared" si="14"/>
        <v>0</v>
      </c>
      <c r="J19" s="11">
        <f t="shared" si="1"/>
        <v>0</v>
      </c>
      <c r="K19" s="9"/>
      <c r="L19" s="9"/>
      <c r="M19" s="7">
        <f t="shared" si="15"/>
        <v>0</v>
      </c>
      <c r="N19" s="7">
        <f t="shared" si="16"/>
        <v>0</v>
      </c>
      <c r="O19" s="11">
        <f t="shared" si="2"/>
        <v>0</v>
      </c>
      <c r="P19" s="9"/>
      <c r="Q19" s="9">
        <v>7.5</v>
      </c>
      <c r="R19" s="7">
        <f t="shared" si="17"/>
        <v>0</v>
      </c>
      <c r="S19" s="7">
        <f t="shared" si="18"/>
        <v>830</v>
      </c>
      <c r="T19" s="11">
        <f t="shared" si="3"/>
        <v>830</v>
      </c>
      <c r="U19" s="9"/>
      <c r="V19" s="9"/>
      <c r="W19" s="7">
        <f t="shared" si="19"/>
        <v>0</v>
      </c>
      <c r="X19" s="7">
        <f t="shared" si="20"/>
        <v>0</v>
      </c>
      <c r="Y19" s="22">
        <f t="shared" si="4"/>
        <v>0</v>
      </c>
      <c r="Z19" s="26">
        <f t="shared" si="21"/>
        <v>830</v>
      </c>
      <c r="AA19" s="9"/>
      <c r="AB19" s="9"/>
      <c r="AC19" s="7">
        <f t="shared" si="22"/>
        <v>0</v>
      </c>
      <c r="AD19" s="7">
        <f t="shared" si="23"/>
        <v>0</v>
      </c>
      <c r="AE19" s="11">
        <f t="shared" si="5"/>
        <v>0</v>
      </c>
      <c r="AF19" s="9"/>
      <c r="AG19" s="9"/>
      <c r="AH19" s="7">
        <f t="shared" si="24"/>
        <v>0</v>
      </c>
      <c r="AI19" s="7">
        <f t="shared" si="25"/>
        <v>0</v>
      </c>
      <c r="AJ19" s="22">
        <f t="shared" si="6"/>
        <v>0</v>
      </c>
      <c r="AK19" s="26">
        <f t="shared" si="26"/>
        <v>0</v>
      </c>
      <c r="AL19" s="9"/>
      <c r="AM19" s="9"/>
      <c r="AN19" s="7">
        <f t="shared" si="27"/>
        <v>0</v>
      </c>
      <c r="AO19" s="7">
        <f t="shared" si="28"/>
        <v>0</v>
      </c>
      <c r="AP19" s="11">
        <f t="shared" si="7"/>
        <v>0</v>
      </c>
      <c r="AQ19" s="9"/>
      <c r="AR19" s="9"/>
      <c r="AS19" s="7">
        <f t="shared" si="29"/>
        <v>0</v>
      </c>
      <c r="AT19" s="7">
        <f t="shared" si="30"/>
        <v>0</v>
      </c>
      <c r="AU19" s="11">
        <f t="shared" si="8"/>
        <v>0</v>
      </c>
      <c r="AV19" s="9"/>
      <c r="AW19" s="9"/>
      <c r="AX19" s="7">
        <f t="shared" si="31"/>
        <v>0</v>
      </c>
      <c r="AY19" s="7">
        <f t="shared" si="32"/>
        <v>0</v>
      </c>
      <c r="AZ19" s="11">
        <f t="shared" si="9"/>
        <v>0</v>
      </c>
      <c r="BA19" s="9"/>
      <c r="BB19" s="9"/>
      <c r="BC19" s="7">
        <f t="shared" si="33"/>
        <v>0</v>
      </c>
      <c r="BD19" s="7">
        <f t="shared" si="34"/>
        <v>0</v>
      </c>
      <c r="BE19" s="11">
        <f t="shared" si="10"/>
        <v>0</v>
      </c>
      <c r="BF19" s="9"/>
      <c r="BG19" s="9"/>
      <c r="BH19" s="7">
        <f t="shared" si="35"/>
        <v>0</v>
      </c>
      <c r="BI19" s="7">
        <f t="shared" si="36"/>
        <v>0</v>
      </c>
      <c r="BJ19" s="11">
        <f t="shared" si="11"/>
        <v>0</v>
      </c>
      <c r="BK19" s="9"/>
      <c r="BL19" s="9"/>
      <c r="BM19" s="7">
        <f t="shared" si="37"/>
        <v>0</v>
      </c>
      <c r="BN19" s="7">
        <f t="shared" si="38"/>
        <v>0</v>
      </c>
      <c r="BO19" s="11">
        <f t="shared" si="12"/>
        <v>0</v>
      </c>
    </row>
    <row r="20" spans="1:67" x14ac:dyDescent="0.25">
      <c r="A20" t="s">
        <v>28</v>
      </c>
      <c r="B20" s="1">
        <v>1713</v>
      </c>
      <c r="C20">
        <v>185</v>
      </c>
      <c r="D20" s="7">
        <f t="shared" si="0"/>
        <v>100</v>
      </c>
      <c r="E20" s="16"/>
      <c r="F20" s="19"/>
      <c r="G20" s="9"/>
      <c r="H20" s="7">
        <f t="shared" si="13"/>
        <v>0</v>
      </c>
      <c r="I20" s="7">
        <f t="shared" si="14"/>
        <v>0</v>
      </c>
      <c r="J20" s="11">
        <f t="shared" si="1"/>
        <v>0</v>
      </c>
      <c r="K20" s="9"/>
      <c r="L20" s="9"/>
      <c r="M20" s="7">
        <f t="shared" si="15"/>
        <v>0</v>
      </c>
      <c r="N20" s="7">
        <f t="shared" si="16"/>
        <v>0</v>
      </c>
      <c r="O20" s="11">
        <f t="shared" si="2"/>
        <v>0</v>
      </c>
      <c r="P20" s="9">
        <v>2</v>
      </c>
      <c r="Q20" s="9"/>
      <c r="R20" s="7">
        <f t="shared" si="17"/>
        <v>100</v>
      </c>
      <c r="S20" s="7">
        <f t="shared" si="18"/>
        <v>0</v>
      </c>
      <c r="T20" s="11">
        <f t="shared" si="3"/>
        <v>100</v>
      </c>
      <c r="U20" s="9"/>
      <c r="V20" s="9"/>
      <c r="W20" s="7">
        <f t="shared" si="19"/>
        <v>0</v>
      </c>
      <c r="X20" s="7">
        <f t="shared" si="20"/>
        <v>0</v>
      </c>
      <c r="Y20" s="22">
        <f t="shared" si="4"/>
        <v>0</v>
      </c>
      <c r="Z20" s="26">
        <f t="shared" si="21"/>
        <v>100</v>
      </c>
      <c r="AA20" s="9"/>
      <c r="AB20" s="9"/>
      <c r="AC20" s="7">
        <f t="shared" si="22"/>
        <v>0</v>
      </c>
      <c r="AD20" s="7">
        <f t="shared" si="23"/>
        <v>0</v>
      </c>
      <c r="AE20" s="11">
        <f t="shared" si="5"/>
        <v>0</v>
      </c>
      <c r="AF20" s="9"/>
      <c r="AG20" s="9"/>
      <c r="AH20" s="7">
        <f t="shared" si="24"/>
        <v>0</v>
      </c>
      <c r="AI20" s="7">
        <f t="shared" si="25"/>
        <v>0</v>
      </c>
      <c r="AJ20" s="22">
        <f t="shared" si="6"/>
        <v>0</v>
      </c>
      <c r="AK20" s="26">
        <f t="shared" si="26"/>
        <v>0</v>
      </c>
      <c r="AL20" s="9"/>
      <c r="AM20" s="9"/>
      <c r="AN20" s="7">
        <f t="shared" si="27"/>
        <v>0</v>
      </c>
      <c r="AO20" s="7">
        <f t="shared" si="28"/>
        <v>0</v>
      </c>
      <c r="AP20" s="11">
        <f t="shared" si="7"/>
        <v>0</v>
      </c>
      <c r="AQ20" s="9"/>
      <c r="AR20" s="9"/>
      <c r="AS20" s="7">
        <f t="shared" si="29"/>
        <v>0</v>
      </c>
      <c r="AT20" s="7">
        <f t="shared" si="30"/>
        <v>0</v>
      </c>
      <c r="AU20" s="11">
        <f t="shared" si="8"/>
        <v>0</v>
      </c>
      <c r="AV20" s="9"/>
      <c r="AW20" s="9"/>
      <c r="AX20" s="7">
        <f t="shared" si="31"/>
        <v>0</v>
      </c>
      <c r="AY20" s="7">
        <f t="shared" si="32"/>
        <v>0</v>
      </c>
      <c r="AZ20" s="11">
        <f t="shared" si="9"/>
        <v>0</v>
      </c>
      <c r="BA20" s="9"/>
      <c r="BB20" s="9"/>
      <c r="BC20" s="7">
        <f t="shared" si="33"/>
        <v>0</v>
      </c>
      <c r="BD20" s="7">
        <f t="shared" si="34"/>
        <v>0</v>
      </c>
      <c r="BE20" s="11">
        <f t="shared" si="10"/>
        <v>0</v>
      </c>
      <c r="BF20" s="9"/>
      <c r="BG20" s="9"/>
      <c r="BH20" s="7">
        <f t="shared" si="35"/>
        <v>0</v>
      </c>
      <c r="BI20" s="7">
        <f t="shared" si="36"/>
        <v>0</v>
      </c>
      <c r="BJ20" s="11">
        <f t="shared" si="11"/>
        <v>0</v>
      </c>
      <c r="BK20" s="9"/>
      <c r="BL20" s="9"/>
      <c r="BM20" s="7">
        <f t="shared" si="37"/>
        <v>0</v>
      </c>
      <c r="BN20" s="7">
        <f t="shared" si="38"/>
        <v>0</v>
      </c>
      <c r="BO20" s="11">
        <f t="shared" si="12"/>
        <v>0</v>
      </c>
    </row>
    <row r="21" spans="1:67" x14ac:dyDescent="0.25">
      <c r="A21" t="s">
        <v>111</v>
      </c>
      <c r="B21" s="1">
        <v>1723</v>
      </c>
      <c r="C21">
        <v>185</v>
      </c>
      <c r="D21" s="7">
        <f t="shared" si="0"/>
        <v>0</v>
      </c>
      <c r="E21" s="16"/>
      <c r="H21" s="7">
        <f t="shared" si="13"/>
        <v>0</v>
      </c>
      <c r="I21" s="7">
        <f t="shared" si="14"/>
        <v>0</v>
      </c>
      <c r="J21" s="12">
        <f t="shared" si="1"/>
        <v>0</v>
      </c>
      <c r="M21" s="7">
        <f t="shared" si="15"/>
        <v>0</v>
      </c>
      <c r="N21" s="7">
        <f t="shared" si="16"/>
        <v>0</v>
      </c>
      <c r="O21" s="12">
        <f t="shared" si="2"/>
        <v>0</v>
      </c>
      <c r="R21" s="7">
        <f t="shared" si="17"/>
        <v>0</v>
      </c>
      <c r="S21" s="7">
        <f t="shared" si="18"/>
        <v>0</v>
      </c>
      <c r="T21" s="12">
        <f t="shared" si="3"/>
        <v>0</v>
      </c>
      <c r="W21" s="7">
        <f t="shared" si="19"/>
        <v>0</v>
      </c>
      <c r="X21" s="7">
        <f t="shared" si="20"/>
        <v>0</v>
      </c>
      <c r="Y21" s="23">
        <f t="shared" si="4"/>
        <v>0</v>
      </c>
      <c r="Z21" s="26">
        <f t="shared" si="21"/>
        <v>0</v>
      </c>
      <c r="AC21" s="7">
        <f t="shared" si="22"/>
        <v>0</v>
      </c>
      <c r="AD21" s="7">
        <f t="shared" si="23"/>
        <v>0</v>
      </c>
      <c r="AE21" s="12">
        <f t="shared" si="5"/>
        <v>0</v>
      </c>
      <c r="AH21" s="7">
        <f t="shared" si="24"/>
        <v>0</v>
      </c>
      <c r="AI21" s="7">
        <f t="shared" si="25"/>
        <v>0</v>
      </c>
      <c r="AJ21" s="23">
        <f t="shared" si="6"/>
        <v>0</v>
      </c>
      <c r="AK21" s="26">
        <f t="shared" si="26"/>
        <v>0</v>
      </c>
      <c r="AN21" s="7">
        <f t="shared" si="27"/>
        <v>0</v>
      </c>
      <c r="AO21" s="7">
        <f t="shared" si="28"/>
        <v>0</v>
      </c>
      <c r="AP21" s="12">
        <f t="shared" si="7"/>
        <v>0</v>
      </c>
      <c r="AS21" s="7">
        <f t="shared" si="29"/>
        <v>0</v>
      </c>
      <c r="AT21" s="7">
        <f t="shared" si="30"/>
        <v>0</v>
      </c>
      <c r="AU21" s="12">
        <f t="shared" si="8"/>
        <v>0</v>
      </c>
      <c r="AX21" s="7">
        <f t="shared" si="31"/>
        <v>0</v>
      </c>
      <c r="AY21" s="7">
        <f t="shared" si="32"/>
        <v>0</v>
      </c>
      <c r="AZ21" s="12">
        <f t="shared" si="9"/>
        <v>0</v>
      </c>
      <c r="BC21" s="7">
        <f t="shared" si="33"/>
        <v>0</v>
      </c>
      <c r="BD21" s="7">
        <f t="shared" si="34"/>
        <v>0</v>
      </c>
      <c r="BE21" s="12">
        <f t="shared" si="10"/>
        <v>0</v>
      </c>
      <c r="BH21" s="7">
        <f t="shared" si="35"/>
        <v>0</v>
      </c>
      <c r="BI21" s="7">
        <f t="shared" si="36"/>
        <v>0</v>
      </c>
      <c r="BJ21" s="12">
        <f t="shared" si="11"/>
        <v>0</v>
      </c>
      <c r="BM21" s="7">
        <f t="shared" si="37"/>
        <v>0</v>
      </c>
      <c r="BN21" s="7">
        <f t="shared" si="38"/>
        <v>0</v>
      </c>
      <c r="BO21" s="12">
        <f t="shared" si="12"/>
        <v>0</v>
      </c>
    </row>
    <row r="22" spans="1:67" x14ac:dyDescent="0.25">
      <c r="A22" t="s">
        <v>29</v>
      </c>
      <c r="B22" s="1">
        <v>1699</v>
      </c>
      <c r="C22">
        <v>185</v>
      </c>
      <c r="D22" s="7">
        <f t="shared" si="0"/>
        <v>150</v>
      </c>
      <c r="E22" s="16"/>
      <c r="F22" s="19"/>
      <c r="G22" s="9"/>
      <c r="H22" s="7">
        <f t="shared" si="13"/>
        <v>0</v>
      </c>
      <c r="I22" s="7">
        <f t="shared" si="14"/>
        <v>0</v>
      </c>
      <c r="J22" s="11">
        <f t="shared" si="1"/>
        <v>0</v>
      </c>
      <c r="K22" s="9"/>
      <c r="L22" s="9"/>
      <c r="M22" s="7">
        <f t="shared" si="15"/>
        <v>0</v>
      </c>
      <c r="N22" s="7">
        <f t="shared" si="16"/>
        <v>0</v>
      </c>
      <c r="O22" s="11">
        <f t="shared" si="2"/>
        <v>0</v>
      </c>
      <c r="P22" s="9">
        <v>1</v>
      </c>
      <c r="Q22" s="9"/>
      <c r="R22" s="7">
        <f t="shared" si="17"/>
        <v>50</v>
      </c>
      <c r="S22" s="7">
        <f t="shared" si="18"/>
        <v>0</v>
      </c>
      <c r="T22" s="11">
        <f t="shared" si="3"/>
        <v>50</v>
      </c>
      <c r="U22" s="9">
        <v>2</v>
      </c>
      <c r="V22" s="9"/>
      <c r="W22" s="7">
        <f t="shared" si="19"/>
        <v>100</v>
      </c>
      <c r="X22" s="7">
        <f t="shared" si="20"/>
        <v>0</v>
      </c>
      <c r="Y22" s="22">
        <f t="shared" si="4"/>
        <v>100</v>
      </c>
      <c r="Z22" s="26">
        <f t="shared" si="21"/>
        <v>150</v>
      </c>
      <c r="AA22" s="9"/>
      <c r="AB22" s="9"/>
      <c r="AC22" s="7">
        <f t="shared" si="22"/>
        <v>0</v>
      </c>
      <c r="AD22" s="7">
        <f t="shared" si="23"/>
        <v>0</v>
      </c>
      <c r="AE22" s="11">
        <f t="shared" si="5"/>
        <v>0</v>
      </c>
      <c r="AF22" s="9"/>
      <c r="AG22" s="9"/>
      <c r="AH22" s="7">
        <f t="shared" si="24"/>
        <v>0</v>
      </c>
      <c r="AI22" s="7">
        <f t="shared" si="25"/>
        <v>0</v>
      </c>
      <c r="AJ22" s="22">
        <f t="shared" si="6"/>
        <v>0</v>
      </c>
      <c r="AK22" s="26">
        <f t="shared" si="26"/>
        <v>0</v>
      </c>
      <c r="AL22" s="9"/>
      <c r="AM22" s="9"/>
      <c r="AN22" s="7">
        <f t="shared" si="27"/>
        <v>0</v>
      </c>
      <c r="AO22" s="7">
        <f t="shared" si="28"/>
        <v>0</v>
      </c>
      <c r="AP22" s="11">
        <f t="shared" si="7"/>
        <v>0</v>
      </c>
      <c r="AQ22" s="9"/>
      <c r="AR22" s="9"/>
      <c r="AS22" s="7">
        <f t="shared" si="29"/>
        <v>0</v>
      </c>
      <c r="AT22" s="7">
        <f t="shared" si="30"/>
        <v>0</v>
      </c>
      <c r="AU22" s="11">
        <f t="shared" si="8"/>
        <v>0</v>
      </c>
      <c r="AV22" s="9"/>
      <c r="AW22" s="9"/>
      <c r="AX22" s="7">
        <f t="shared" si="31"/>
        <v>0</v>
      </c>
      <c r="AY22" s="7">
        <f t="shared" si="32"/>
        <v>0</v>
      </c>
      <c r="AZ22" s="11">
        <f t="shared" si="9"/>
        <v>0</v>
      </c>
      <c r="BA22" s="9"/>
      <c r="BB22" s="9"/>
      <c r="BC22" s="7">
        <f t="shared" si="33"/>
        <v>0</v>
      </c>
      <c r="BD22" s="7">
        <f t="shared" si="34"/>
        <v>0</v>
      </c>
      <c r="BE22" s="11">
        <f t="shared" si="10"/>
        <v>0</v>
      </c>
      <c r="BF22" s="9"/>
      <c r="BG22" s="9"/>
      <c r="BH22" s="7">
        <f t="shared" si="35"/>
        <v>0</v>
      </c>
      <c r="BI22" s="7">
        <f t="shared" si="36"/>
        <v>0</v>
      </c>
      <c r="BJ22" s="11">
        <f t="shared" si="11"/>
        <v>0</v>
      </c>
      <c r="BK22" s="9"/>
      <c r="BL22" s="9"/>
      <c r="BM22" s="7">
        <f t="shared" si="37"/>
        <v>0</v>
      </c>
      <c r="BN22" s="7">
        <f t="shared" si="38"/>
        <v>0</v>
      </c>
      <c r="BO22" s="11">
        <f t="shared" si="12"/>
        <v>0</v>
      </c>
    </row>
    <row r="23" spans="1:67" x14ac:dyDescent="0.25">
      <c r="A23" t="s">
        <v>30</v>
      </c>
      <c r="B23" s="1">
        <v>1414</v>
      </c>
      <c r="C23">
        <v>230</v>
      </c>
      <c r="D23" s="7">
        <f t="shared" si="0"/>
        <v>1640</v>
      </c>
      <c r="E23" s="16"/>
      <c r="F23" s="19"/>
      <c r="G23" s="9"/>
      <c r="H23" s="7">
        <f t="shared" si="13"/>
        <v>0</v>
      </c>
      <c r="I23" s="7">
        <f t="shared" si="14"/>
        <v>0</v>
      </c>
      <c r="J23" s="11">
        <f t="shared" si="1"/>
        <v>0</v>
      </c>
      <c r="K23" s="9"/>
      <c r="L23" s="9"/>
      <c r="M23" s="7">
        <f t="shared" si="15"/>
        <v>0</v>
      </c>
      <c r="N23" s="7">
        <f t="shared" si="16"/>
        <v>0</v>
      </c>
      <c r="O23" s="11">
        <f t="shared" si="2"/>
        <v>0</v>
      </c>
      <c r="P23" s="9">
        <v>4</v>
      </c>
      <c r="Q23" s="9"/>
      <c r="R23" s="7">
        <f t="shared" si="17"/>
        <v>250</v>
      </c>
      <c r="S23" s="7">
        <f t="shared" si="18"/>
        <v>0</v>
      </c>
      <c r="T23" s="11">
        <f t="shared" si="3"/>
        <v>250</v>
      </c>
      <c r="U23" s="9">
        <v>7</v>
      </c>
      <c r="V23" s="9">
        <v>7.5</v>
      </c>
      <c r="W23" s="7">
        <f t="shared" si="19"/>
        <v>440</v>
      </c>
      <c r="X23" s="7">
        <f t="shared" si="20"/>
        <v>950</v>
      </c>
      <c r="Y23" s="22">
        <f t="shared" si="4"/>
        <v>1390</v>
      </c>
      <c r="Z23" s="26">
        <f t="shared" si="21"/>
        <v>1640</v>
      </c>
      <c r="AA23" s="9"/>
      <c r="AB23" s="9"/>
      <c r="AC23" s="7">
        <f t="shared" si="22"/>
        <v>0</v>
      </c>
      <c r="AD23" s="7">
        <f t="shared" si="23"/>
        <v>0</v>
      </c>
      <c r="AE23" s="11">
        <f t="shared" si="5"/>
        <v>0</v>
      </c>
      <c r="AF23" s="9"/>
      <c r="AG23" s="9"/>
      <c r="AH23" s="7">
        <f t="shared" si="24"/>
        <v>0</v>
      </c>
      <c r="AI23" s="7">
        <f t="shared" si="25"/>
        <v>0</v>
      </c>
      <c r="AJ23" s="22">
        <f t="shared" si="6"/>
        <v>0</v>
      </c>
      <c r="AK23" s="26">
        <f t="shared" si="26"/>
        <v>0</v>
      </c>
      <c r="AL23" s="9"/>
      <c r="AM23" s="9"/>
      <c r="AN23" s="7">
        <f t="shared" si="27"/>
        <v>0</v>
      </c>
      <c r="AO23" s="7">
        <f t="shared" si="28"/>
        <v>0</v>
      </c>
      <c r="AP23" s="11">
        <f t="shared" si="7"/>
        <v>0</v>
      </c>
      <c r="AQ23" s="9"/>
      <c r="AR23" s="9"/>
      <c r="AS23" s="7">
        <f t="shared" si="29"/>
        <v>0</v>
      </c>
      <c r="AT23" s="7">
        <f t="shared" si="30"/>
        <v>0</v>
      </c>
      <c r="AU23" s="11">
        <f t="shared" si="8"/>
        <v>0</v>
      </c>
      <c r="AV23" s="9"/>
      <c r="AW23" s="9"/>
      <c r="AX23" s="7">
        <f t="shared" si="31"/>
        <v>0</v>
      </c>
      <c r="AY23" s="7">
        <f t="shared" si="32"/>
        <v>0</v>
      </c>
      <c r="AZ23" s="11">
        <f t="shared" si="9"/>
        <v>0</v>
      </c>
      <c r="BA23" s="9"/>
      <c r="BB23" s="9"/>
      <c r="BC23" s="7">
        <f t="shared" si="33"/>
        <v>0</v>
      </c>
      <c r="BD23" s="7">
        <f t="shared" si="34"/>
        <v>0</v>
      </c>
      <c r="BE23" s="11">
        <f t="shared" si="10"/>
        <v>0</v>
      </c>
      <c r="BF23" s="9"/>
      <c r="BG23" s="9"/>
      <c r="BH23" s="7">
        <f t="shared" si="35"/>
        <v>0</v>
      </c>
      <c r="BI23" s="7">
        <f t="shared" si="36"/>
        <v>0</v>
      </c>
      <c r="BJ23" s="11">
        <f t="shared" si="11"/>
        <v>0</v>
      </c>
      <c r="BK23" s="9"/>
      <c r="BL23" s="9"/>
      <c r="BM23" s="7">
        <f t="shared" si="37"/>
        <v>0</v>
      </c>
      <c r="BN23" s="7">
        <f t="shared" si="38"/>
        <v>0</v>
      </c>
      <c r="BO23" s="11">
        <f t="shared" si="12"/>
        <v>0</v>
      </c>
    </row>
    <row r="24" spans="1:67" x14ac:dyDescent="0.25">
      <c r="A24" t="s">
        <v>31</v>
      </c>
      <c r="B24" s="1">
        <v>1593</v>
      </c>
      <c r="C24">
        <v>200</v>
      </c>
      <c r="D24" s="7">
        <f t="shared" si="0"/>
        <v>110</v>
      </c>
      <c r="E24" s="16"/>
      <c r="F24" s="19"/>
      <c r="G24" s="9"/>
      <c r="H24" s="7">
        <f t="shared" si="13"/>
        <v>0</v>
      </c>
      <c r="I24" s="7">
        <f t="shared" si="14"/>
        <v>0</v>
      </c>
      <c r="J24" s="11">
        <f t="shared" si="1"/>
        <v>0</v>
      </c>
      <c r="K24" s="9"/>
      <c r="L24" s="9"/>
      <c r="M24" s="7">
        <f t="shared" si="15"/>
        <v>0</v>
      </c>
      <c r="N24" s="7">
        <f t="shared" si="16"/>
        <v>0</v>
      </c>
      <c r="O24" s="11">
        <f t="shared" si="2"/>
        <v>0</v>
      </c>
      <c r="P24" s="9"/>
      <c r="Q24" s="9"/>
      <c r="R24" s="7">
        <f t="shared" si="17"/>
        <v>0</v>
      </c>
      <c r="S24" s="7">
        <f t="shared" si="18"/>
        <v>0</v>
      </c>
      <c r="T24" s="11">
        <f t="shared" si="3"/>
        <v>0</v>
      </c>
      <c r="U24" s="9">
        <v>2</v>
      </c>
      <c r="V24" s="9"/>
      <c r="W24" s="7">
        <f t="shared" si="19"/>
        <v>110</v>
      </c>
      <c r="X24" s="7">
        <f t="shared" si="20"/>
        <v>0</v>
      </c>
      <c r="Y24" s="22">
        <f t="shared" si="4"/>
        <v>110</v>
      </c>
      <c r="Z24" s="26">
        <f t="shared" si="21"/>
        <v>110</v>
      </c>
      <c r="AA24" s="9"/>
      <c r="AB24" s="9"/>
      <c r="AC24" s="7">
        <f t="shared" si="22"/>
        <v>0</v>
      </c>
      <c r="AD24" s="7">
        <f t="shared" si="23"/>
        <v>0</v>
      </c>
      <c r="AE24" s="11">
        <f t="shared" si="5"/>
        <v>0</v>
      </c>
      <c r="AF24" s="9"/>
      <c r="AG24" s="9"/>
      <c r="AH24" s="7">
        <f t="shared" si="24"/>
        <v>0</v>
      </c>
      <c r="AI24" s="7">
        <f t="shared" si="25"/>
        <v>0</v>
      </c>
      <c r="AJ24" s="22">
        <f t="shared" si="6"/>
        <v>0</v>
      </c>
      <c r="AK24" s="26">
        <f t="shared" si="26"/>
        <v>0</v>
      </c>
      <c r="AL24" s="9"/>
      <c r="AM24" s="9"/>
      <c r="AN24" s="7">
        <f t="shared" si="27"/>
        <v>0</v>
      </c>
      <c r="AO24" s="7">
        <f t="shared" si="28"/>
        <v>0</v>
      </c>
      <c r="AP24" s="11">
        <f t="shared" si="7"/>
        <v>0</v>
      </c>
      <c r="AQ24" s="9"/>
      <c r="AR24" s="9"/>
      <c r="AS24" s="7">
        <f t="shared" si="29"/>
        <v>0</v>
      </c>
      <c r="AT24" s="7">
        <f t="shared" si="30"/>
        <v>0</v>
      </c>
      <c r="AU24" s="11">
        <f t="shared" si="8"/>
        <v>0</v>
      </c>
      <c r="AV24" s="9"/>
      <c r="AW24" s="9"/>
      <c r="AX24" s="7">
        <f t="shared" si="31"/>
        <v>0</v>
      </c>
      <c r="AY24" s="7">
        <f t="shared" si="32"/>
        <v>0</v>
      </c>
      <c r="AZ24" s="11">
        <f t="shared" si="9"/>
        <v>0</v>
      </c>
      <c r="BA24" s="9"/>
      <c r="BB24" s="9"/>
      <c r="BC24" s="7">
        <f t="shared" si="33"/>
        <v>0</v>
      </c>
      <c r="BD24" s="7">
        <f t="shared" si="34"/>
        <v>0</v>
      </c>
      <c r="BE24" s="11">
        <f t="shared" si="10"/>
        <v>0</v>
      </c>
      <c r="BF24" s="9"/>
      <c r="BG24" s="9"/>
      <c r="BH24" s="7">
        <f t="shared" si="35"/>
        <v>0</v>
      </c>
      <c r="BI24" s="7">
        <f t="shared" si="36"/>
        <v>0</v>
      </c>
      <c r="BJ24" s="11">
        <f t="shared" si="11"/>
        <v>0</v>
      </c>
      <c r="BK24" s="9"/>
      <c r="BL24" s="9"/>
      <c r="BM24" s="7">
        <f t="shared" si="37"/>
        <v>0</v>
      </c>
      <c r="BN24" s="7">
        <f t="shared" si="38"/>
        <v>0</v>
      </c>
      <c r="BO24" s="11">
        <f t="shared" si="12"/>
        <v>0</v>
      </c>
    </row>
    <row r="25" spans="1:67" x14ac:dyDescent="0.25">
      <c r="A25" t="s">
        <v>32</v>
      </c>
      <c r="B25" s="1">
        <v>1215</v>
      </c>
      <c r="C25">
        <v>215</v>
      </c>
      <c r="D25" s="7">
        <f t="shared" si="0"/>
        <v>7360</v>
      </c>
      <c r="E25" s="16"/>
      <c r="F25" s="19"/>
      <c r="G25" s="9"/>
      <c r="H25" s="7">
        <f t="shared" si="13"/>
        <v>0</v>
      </c>
      <c r="I25" s="7">
        <f t="shared" si="14"/>
        <v>0</v>
      </c>
      <c r="J25" s="11">
        <f t="shared" si="1"/>
        <v>0</v>
      </c>
      <c r="K25" s="9"/>
      <c r="L25" s="9"/>
      <c r="M25" s="7">
        <f t="shared" si="15"/>
        <v>0</v>
      </c>
      <c r="N25" s="7">
        <f t="shared" si="16"/>
        <v>0</v>
      </c>
      <c r="O25" s="11">
        <f t="shared" si="2"/>
        <v>0</v>
      </c>
      <c r="P25" s="9">
        <v>23</v>
      </c>
      <c r="Q25" s="9">
        <v>22.5</v>
      </c>
      <c r="R25" s="7">
        <f t="shared" si="17"/>
        <v>1360</v>
      </c>
      <c r="S25" s="7">
        <f t="shared" si="18"/>
        <v>2660</v>
      </c>
      <c r="T25" s="11">
        <f t="shared" si="3"/>
        <v>4020</v>
      </c>
      <c r="U25" s="9">
        <v>24.5</v>
      </c>
      <c r="V25" s="9">
        <v>16</v>
      </c>
      <c r="W25" s="7">
        <f t="shared" si="19"/>
        <v>1450</v>
      </c>
      <c r="X25" s="7">
        <f t="shared" si="20"/>
        <v>1890</v>
      </c>
      <c r="Y25" s="22">
        <f t="shared" si="4"/>
        <v>3340</v>
      </c>
      <c r="Z25" s="26">
        <f t="shared" si="21"/>
        <v>7360</v>
      </c>
      <c r="AA25" s="9"/>
      <c r="AB25" s="9"/>
      <c r="AC25" s="7">
        <f t="shared" si="22"/>
        <v>0</v>
      </c>
      <c r="AD25" s="7">
        <f t="shared" si="23"/>
        <v>0</v>
      </c>
      <c r="AE25" s="11">
        <f t="shared" si="5"/>
        <v>0</v>
      </c>
      <c r="AF25" s="9"/>
      <c r="AG25" s="9"/>
      <c r="AH25" s="7">
        <f t="shared" si="24"/>
        <v>0</v>
      </c>
      <c r="AI25" s="7">
        <f t="shared" si="25"/>
        <v>0</v>
      </c>
      <c r="AJ25" s="22">
        <f t="shared" si="6"/>
        <v>0</v>
      </c>
      <c r="AK25" s="26">
        <f t="shared" si="26"/>
        <v>0</v>
      </c>
      <c r="AL25" s="9"/>
      <c r="AM25" s="9"/>
      <c r="AN25" s="7">
        <f t="shared" si="27"/>
        <v>0</v>
      </c>
      <c r="AO25" s="7">
        <f t="shared" si="28"/>
        <v>0</v>
      </c>
      <c r="AP25" s="11">
        <f t="shared" si="7"/>
        <v>0</v>
      </c>
      <c r="AQ25" s="9"/>
      <c r="AR25" s="9"/>
      <c r="AS25" s="7">
        <f t="shared" si="29"/>
        <v>0</v>
      </c>
      <c r="AT25" s="7">
        <f t="shared" si="30"/>
        <v>0</v>
      </c>
      <c r="AU25" s="11">
        <f t="shared" si="8"/>
        <v>0</v>
      </c>
      <c r="AV25" s="9"/>
      <c r="AW25" s="9"/>
      <c r="AX25" s="7">
        <f t="shared" si="31"/>
        <v>0</v>
      </c>
      <c r="AY25" s="7">
        <f t="shared" si="32"/>
        <v>0</v>
      </c>
      <c r="AZ25" s="11">
        <f t="shared" si="9"/>
        <v>0</v>
      </c>
      <c r="BA25" s="9"/>
      <c r="BB25" s="9"/>
      <c r="BC25" s="7">
        <f t="shared" si="33"/>
        <v>0</v>
      </c>
      <c r="BD25" s="7">
        <f t="shared" si="34"/>
        <v>0</v>
      </c>
      <c r="BE25" s="11">
        <f t="shared" si="10"/>
        <v>0</v>
      </c>
      <c r="BF25" s="9"/>
      <c r="BG25" s="9"/>
      <c r="BH25" s="7">
        <f t="shared" si="35"/>
        <v>0</v>
      </c>
      <c r="BI25" s="7">
        <f t="shared" si="36"/>
        <v>0</v>
      </c>
      <c r="BJ25" s="11">
        <f t="shared" si="11"/>
        <v>0</v>
      </c>
      <c r="BK25" s="9"/>
      <c r="BL25" s="9"/>
      <c r="BM25" s="7">
        <f t="shared" si="37"/>
        <v>0</v>
      </c>
      <c r="BN25" s="7">
        <f t="shared" si="38"/>
        <v>0</v>
      </c>
      <c r="BO25" s="11">
        <f t="shared" si="12"/>
        <v>0</v>
      </c>
    </row>
    <row r="26" spans="1:67" x14ac:dyDescent="0.25">
      <c r="A26" t="s">
        <v>33</v>
      </c>
      <c r="B26" s="1">
        <v>1556</v>
      </c>
      <c r="C26">
        <v>215</v>
      </c>
      <c r="D26" s="7">
        <f t="shared" si="0"/>
        <v>8010</v>
      </c>
      <c r="E26" s="16"/>
      <c r="F26" s="19"/>
      <c r="G26" s="9"/>
      <c r="H26" s="7">
        <f t="shared" si="13"/>
        <v>0</v>
      </c>
      <c r="I26" s="7">
        <f t="shared" si="14"/>
        <v>0</v>
      </c>
      <c r="J26" s="11">
        <f t="shared" si="1"/>
        <v>0</v>
      </c>
      <c r="K26" s="9"/>
      <c r="L26" s="9"/>
      <c r="M26" s="7">
        <f t="shared" si="15"/>
        <v>0</v>
      </c>
      <c r="N26" s="7">
        <f t="shared" si="16"/>
        <v>0</v>
      </c>
      <c r="O26" s="11">
        <f t="shared" si="2"/>
        <v>0</v>
      </c>
      <c r="P26" s="9">
        <v>21</v>
      </c>
      <c r="Q26" s="9">
        <v>22.5</v>
      </c>
      <c r="R26" s="7">
        <f t="shared" si="17"/>
        <v>1240</v>
      </c>
      <c r="S26" s="7">
        <f t="shared" si="18"/>
        <v>2660</v>
      </c>
      <c r="T26" s="11">
        <f t="shared" si="3"/>
        <v>3900</v>
      </c>
      <c r="U26" s="9">
        <v>22.5</v>
      </c>
      <c r="V26" s="9">
        <v>23.5</v>
      </c>
      <c r="W26" s="7">
        <f t="shared" si="19"/>
        <v>1330</v>
      </c>
      <c r="X26" s="7">
        <f t="shared" si="20"/>
        <v>2780</v>
      </c>
      <c r="Y26" s="22">
        <f t="shared" si="4"/>
        <v>4110</v>
      </c>
      <c r="Z26" s="26">
        <f t="shared" si="21"/>
        <v>8010</v>
      </c>
      <c r="AA26" s="9"/>
      <c r="AB26" s="9"/>
      <c r="AC26" s="7">
        <f t="shared" si="22"/>
        <v>0</v>
      </c>
      <c r="AD26" s="7">
        <f t="shared" si="23"/>
        <v>0</v>
      </c>
      <c r="AE26" s="11">
        <f t="shared" si="5"/>
        <v>0</v>
      </c>
      <c r="AF26" s="9"/>
      <c r="AG26" s="9"/>
      <c r="AH26" s="7">
        <f t="shared" si="24"/>
        <v>0</v>
      </c>
      <c r="AI26" s="7">
        <f t="shared" si="25"/>
        <v>0</v>
      </c>
      <c r="AJ26" s="22">
        <f t="shared" si="6"/>
        <v>0</v>
      </c>
      <c r="AK26" s="26">
        <f t="shared" si="26"/>
        <v>0</v>
      </c>
      <c r="AL26" s="9"/>
      <c r="AM26" s="9"/>
      <c r="AN26" s="7">
        <f t="shared" si="27"/>
        <v>0</v>
      </c>
      <c r="AO26" s="7">
        <f t="shared" si="28"/>
        <v>0</v>
      </c>
      <c r="AP26" s="11">
        <f t="shared" si="7"/>
        <v>0</v>
      </c>
      <c r="AQ26" s="9"/>
      <c r="AR26" s="9"/>
      <c r="AS26" s="7">
        <f t="shared" si="29"/>
        <v>0</v>
      </c>
      <c r="AT26" s="7">
        <f t="shared" si="30"/>
        <v>0</v>
      </c>
      <c r="AU26" s="11">
        <f t="shared" si="8"/>
        <v>0</v>
      </c>
      <c r="AV26" s="9"/>
      <c r="AW26" s="9"/>
      <c r="AX26" s="7">
        <f t="shared" si="31"/>
        <v>0</v>
      </c>
      <c r="AY26" s="7">
        <f t="shared" si="32"/>
        <v>0</v>
      </c>
      <c r="AZ26" s="11">
        <f t="shared" si="9"/>
        <v>0</v>
      </c>
      <c r="BA26" s="9"/>
      <c r="BB26" s="9"/>
      <c r="BC26" s="7">
        <f t="shared" si="33"/>
        <v>0</v>
      </c>
      <c r="BD26" s="7">
        <f t="shared" si="34"/>
        <v>0</v>
      </c>
      <c r="BE26" s="11">
        <f t="shared" si="10"/>
        <v>0</v>
      </c>
      <c r="BF26" s="9"/>
      <c r="BG26" s="9"/>
      <c r="BH26" s="7">
        <f t="shared" si="35"/>
        <v>0</v>
      </c>
      <c r="BI26" s="7">
        <f t="shared" si="36"/>
        <v>0</v>
      </c>
      <c r="BJ26" s="11">
        <f t="shared" si="11"/>
        <v>0</v>
      </c>
      <c r="BK26" s="9"/>
      <c r="BL26" s="9"/>
      <c r="BM26" s="7">
        <f t="shared" si="37"/>
        <v>0</v>
      </c>
      <c r="BN26" s="7">
        <f t="shared" si="38"/>
        <v>0</v>
      </c>
      <c r="BO26" s="11">
        <f t="shared" si="12"/>
        <v>0</v>
      </c>
    </row>
    <row r="27" spans="1:67" x14ac:dyDescent="0.25">
      <c r="A27" t="s">
        <v>34</v>
      </c>
      <c r="B27" s="1">
        <v>1563</v>
      </c>
      <c r="C27">
        <v>215</v>
      </c>
      <c r="D27" s="7">
        <f t="shared" si="0"/>
        <v>9110</v>
      </c>
      <c r="E27" s="16"/>
      <c r="F27" s="19"/>
      <c r="G27" s="9"/>
      <c r="H27" s="7">
        <f t="shared" si="13"/>
        <v>0</v>
      </c>
      <c r="I27" s="7">
        <f t="shared" si="14"/>
        <v>0</v>
      </c>
      <c r="J27" s="11">
        <f t="shared" si="1"/>
        <v>0</v>
      </c>
      <c r="K27" s="9"/>
      <c r="L27" s="9"/>
      <c r="M27" s="7">
        <f t="shared" si="15"/>
        <v>0</v>
      </c>
      <c r="N27" s="7">
        <f t="shared" si="16"/>
        <v>0</v>
      </c>
      <c r="O27" s="11">
        <f t="shared" si="2"/>
        <v>0</v>
      </c>
      <c r="P27" s="9">
        <v>7.5</v>
      </c>
      <c r="Q27" s="9">
        <v>48.5</v>
      </c>
      <c r="R27" s="7">
        <f t="shared" si="17"/>
        <v>440</v>
      </c>
      <c r="S27" s="7">
        <f t="shared" si="18"/>
        <v>5740</v>
      </c>
      <c r="T27" s="11">
        <f t="shared" si="3"/>
        <v>6180</v>
      </c>
      <c r="U27" s="9">
        <v>2.5</v>
      </c>
      <c r="V27" s="9">
        <v>23.5</v>
      </c>
      <c r="W27" s="7">
        <f t="shared" si="19"/>
        <v>150</v>
      </c>
      <c r="X27" s="7">
        <f t="shared" si="20"/>
        <v>2780</v>
      </c>
      <c r="Y27" s="22">
        <f t="shared" si="4"/>
        <v>2930</v>
      </c>
      <c r="Z27" s="26">
        <f t="shared" si="21"/>
        <v>9110</v>
      </c>
      <c r="AA27" s="9"/>
      <c r="AB27" s="9"/>
      <c r="AC27" s="7">
        <f t="shared" si="22"/>
        <v>0</v>
      </c>
      <c r="AD27" s="7">
        <f t="shared" si="23"/>
        <v>0</v>
      </c>
      <c r="AE27" s="11">
        <f t="shared" si="5"/>
        <v>0</v>
      </c>
      <c r="AF27" s="9"/>
      <c r="AG27" s="9"/>
      <c r="AH27" s="7">
        <f t="shared" si="24"/>
        <v>0</v>
      </c>
      <c r="AI27" s="7">
        <f t="shared" si="25"/>
        <v>0</v>
      </c>
      <c r="AJ27" s="22">
        <f t="shared" si="6"/>
        <v>0</v>
      </c>
      <c r="AK27" s="26">
        <f t="shared" si="26"/>
        <v>0</v>
      </c>
      <c r="AL27" s="9"/>
      <c r="AM27" s="9"/>
      <c r="AN27" s="7">
        <f t="shared" si="27"/>
        <v>0</v>
      </c>
      <c r="AO27" s="7">
        <f t="shared" si="28"/>
        <v>0</v>
      </c>
      <c r="AP27" s="11">
        <f t="shared" si="7"/>
        <v>0</v>
      </c>
      <c r="AQ27" s="9"/>
      <c r="AR27" s="9"/>
      <c r="AS27" s="7">
        <f t="shared" si="29"/>
        <v>0</v>
      </c>
      <c r="AT27" s="7">
        <f t="shared" si="30"/>
        <v>0</v>
      </c>
      <c r="AU27" s="11">
        <f t="shared" si="8"/>
        <v>0</v>
      </c>
      <c r="AV27" s="9"/>
      <c r="AW27" s="9"/>
      <c r="AX27" s="7">
        <f t="shared" si="31"/>
        <v>0</v>
      </c>
      <c r="AY27" s="7">
        <f t="shared" si="32"/>
        <v>0</v>
      </c>
      <c r="AZ27" s="11">
        <f t="shared" si="9"/>
        <v>0</v>
      </c>
      <c r="BA27" s="9"/>
      <c r="BB27" s="9"/>
      <c r="BC27" s="7">
        <f t="shared" si="33"/>
        <v>0</v>
      </c>
      <c r="BD27" s="7">
        <f t="shared" si="34"/>
        <v>0</v>
      </c>
      <c r="BE27" s="11">
        <f t="shared" si="10"/>
        <v>0</v>
      </c>
      <c r="BF27" s="9"/>
      <c r="BG27" s="9"/>
      <c r="BH27" s="7">
        <f t="shared" si="35"/>
        <v>0</v>
      </c>
      <c r="BI27" s="7">
        <f t="shared" si="36"/>
        <v>0</v>
      </c>
      <c r="BJ27" s="11">
        <f t="shared" si="11"/>
        <v>0</v>
      </c>
      <c r="BK27" s="9"/>
      <c r="BL27" s="9"/>
      <c r="BM27" s="7">
        <f t="shared" si="37"/>
        <v>0</v>
      </c>
      <c r="BN27" s="7">
        <f t="shared" si="38"/>
        <v>0</v>
      </c>
      <c r="BO27" s="11">
        <f t="shared" si="12"/>
        <v>0</v>
      </c>
    </row>
    <row r="28" spans="1:67" x14ac:dyDescent="0.25">
      <c r="A28" t="s">
        <v>35</v>
      </c>
      <c r="B28" s="1">
        <v>1650</v>
      </c>
      <c r="C28">
        <v>230</v>
      </c>
      <c r="D28" s="7">
        <f t="shared" si="0"/>
        <v>60</v>
      </c>
      <c r="E28" s="16"/>
      <c r="F28" s="19"/>
      <c r="G28" s="9"/>
      <c r="H28" s="7">
        <f t="shared" si="13"/>
        <v>0</v>
      </c>
      <c r="I28" s="7">
        <f t="shared" si="14"/>
        <v>0</v>
      </c>
      <c r="J28" s="11">
        <f t="shared" si="1"/>
        <v>0</v>
      </c>
      <c r="K28" s="9"/>
      <c r="L28" s="9"/>
      <c r="M28" s="7">
        <f t="shared" si="15"/>
        <v>0</v>
      </c>
      <c r="N28" s="7">
        <f t="shared" si="16"/>
        <v>0</v>
      </c>
      <c r="O28" s="11">
        <f t="shared" si="2"/>
        <v>0</v>
      </c>
      <c r="P28" s="9"/>
      <c r="Q28" s="9"/>
      <c r="R28" s="7">
        <f t="shared" si="17"/>
        <v>0</v>
      </c>
      <c r="S28" s="7">
        <f t="shared" si="18"/>
        <v>0</v>
      </c>
      <c r="T28" s="11">
        <f t="shared" si="3"/>
        <v>0</v>
      </c>
      <c r="U28" s="9">
        <v>1</v>
      </c>
      <c r="V28" s="9"/>
      <c r="W28" s="7">
        <f t="shared" si="19"/>
        <v>60</v>
      </c>
      <c r="X28" s="7">
        <f t="shared" si="20"/>
        <v>0</v>
      </c>
      <c r="Y28" s="22">
        <f t="shared" si="4"/>
        <v>60</v>
      </c>
      <c r="Z28" s="26">
        <f t="shared" si="21"/>
        <v>60</v>
      </c>
      <c r="AA28" s="9"/>
      <c r="AB28" s="9"/>
      <c r="AC28" s="7">
        <f t="shared" si="22"/>
        <v>0</v>
      </c>
      <c r="AD28" s="7">
        <f t="shared" si="23"/>
        <v>0</v>
      </c>
      <c r="AE28" s="11">
        <f t="shared" si="5"/>
        <v>0</v>
      </c>
      <c r="AF28" s="9"/>
      <c r="AG28" s="9"/>
      <c r="AH28" s="7">
        <f t="shared" si="24"/>
        <v>0</v>
      </c>
      <c r="AI28" s="7">
        <f t="shared" si="25"/>
        <v>0</v>
      </c>
      <c r="AJ28" s="22">
        <f t="shared" si="6"/>
        <v>0</v>
      </c>
      <c r="AK28" s="26">
        <f t="shared" si="26"/>
        <v>0</v>
      </c>
      <c r="AL28" s="9"/>
      <c r="AM28" s="9"/>
      <c r="AN28" s="7">
        <f t="shared" si="27"/>
        <v>0</v>
      </c>
      <c r="AO28" s="7">
        <f t="shared" si="28"/>
        <v>0</v>
      </c>
      <c r="AP28" s="11">
        <f t="shared" si="7"/>
        <v>0</v>
      </c>
      <c r="AQ28" s="9"/>
      <c r="AR28" s="9"/>
      <c r="AS28" s="7">
        <f t="shared" si="29"/>
        <v>0</v>
      </c>
      <c r="AT28" s="7">
        <f t="shared" si="30"/>
        <v>0</v>
      </c>
      <c r="AU28" s="11">
        <f t="shared" si="8"/>
        <v>0</v>
      </c>
      <c r="AV28" s="9"/>
      <c r="AW28" s="9"/>
      <c r="AX28" s="7">
        <f t="shared" si="31"/>
        <v>0</v>
      </c>
      <c r="AY28" s="7">
        <f t="shared" si="32"/>
        <v>0</v>
      </c>
      <c r="AZ28" s="11">
        <f t="shared" si="9"/>
        <v>0</v>
      </c>
      <c r="BA28" s="9"/>
      <c r="BB28" s="9"/>
      <c r="BC28" s="7">
        <f t="shared" si="33"/>
        <v>0</v>
      </c>
      <c r="BD28" s="7">
        <f t="shared" si="34"/>
        <v>0</v>
      </c>
      <c r="BE28" s="11">
        <f t="shared" si="10"/>
        <v>0</v>
      </c>
      <c r="BF28" s="9"/>
      <c r="BG28" s="9"/>
      <c r="BH28" s="7">
        <f t="shared" si="35"/>
        <v>0</v>
      </c>
      <c r="BI28" s="7">
        <f t="shared" si="36"/>
        <v>0</v>
      </c>
      <c r="BJ28" s="11">
        <f t="shared" si="11"/>
        <v>0</v>
      </c>
      <c r="BK28" s="9"/>
      <c r="BL28" s="9"/>
      <c r="BM28" s="7">
        <f t="shared" si="37"/>
        <v>0</v>
      </c>
      <c r="BN28" s="7">
        <f t="shared" si="38"/>
        <v>0</v>
      </c>
      <c r="BO28" s="11">
        <f t="shared" si="12"/>
        <v>0</v>
      </c>
    </row>
    <row r="29" spans="1:67" x14ac:dyDescent="0.25">
      <c r="A29" t="s">
        <v>36</v>
      </c>
      <c r="B29" s="1">
        <v>1600</v>
      </c>
      <c r="C29">
        <v>215</v>
      </c>
      <c r="D29" s="7">
        <f t="shared" si="0"/>
        <v>5560</v>
      </c>
      <c r="E29" s="16"/>
      <c r="F29" s="19"/>
      <c r="G29" s="9"/>
      <c r="H29" s="7">
        <f t="shared" si="13"/>
        <v>0</v>
      </c>
      <c r="I29" s="7">
        <f t="shared" si="14"/>
        <v>0</v>
      </c>
      <c r="J29" s="11">
        <f t="shared" si="1"/>
        <v>0</v>
      </c>
      <c r="K29" s="9"/>
      <c r="L29" s="9"/>
      <c r="M29" s="7">
        <f t="shared" si="15"/>
        <v>0</v>
      </c>
      <c r="N29" s="7">
        <f t="shared" si="16"/>
        <v>0</v>
      </c>
      <c r="O29" s="11">
        <f t="shared" si="2"/>
        <v>0</v>
      </c>
      <c r="P29" s="9">
        <v>22.5</v>
      </c>
      <c r="Q29" s="9">
        <v>13</v>
      </c>
      <c r="R29" s="7">
        <f t="shared" si="17"/>
        <v>1330</v>
      </c>
      <c r="S29" s="7">
        <f t="shared" si="18"/>
        <v>1540</v>
      </c>
      <c r="T29" s="11">
        <f t="shared" si="3"/>
        <v>2870</v>
      </c>
      <c r="U29" s="9">
        <v>30.5</v>
      </c>
      <c r="V29" s="9">
        <v>7.5</v>
      </c>
      <c r="W29" s="7">
        <f t="shared" si="19"/>
        <v>1800</v>
      </c>
      <c r="X29" s="7">
        <f t="shared" si="20"/>
        <v>890</v>
      </c>
      <c r="Y29" s="22">
        <f t="shared" si="4"/>
        <v>2690</v>
      </c>
      <c r="Z29" s="26">
        <f t="shared" si="21"/>
        <v>5560</v>
      </c>
      <c r="AA29" s="9"/>
      <c r="AB29" s="9"/>
      <c r="AC29" s="7">
        <f t="shared" si="22"/>
        <v>0</v>
      </c>
      <c r="AD29" s="7">
        <f t="shared" si="23"/>
        <v>0</v>
      </c>
      <c r="AE29" s="11">
        <f t="shared" si="5"/>
        <v>0</v>
      </c>
      <c r="AF29" s="9"/>
      <c r="AG29" s="9"/>
      <c r="AH29" s="7">
        <f t="shared" si="24"/>
        <v>0</v>
      </c>
      <c r="AI29" s="7">
        <f t="shared" si="25"/>
        <v>0</v>
      </c>
      <c r="AJ29" s="22">
        <f t="shared" si="6"/>
        <v>0</v>
      </c>
      <c r="AK29" s="26">
        <f t="shared" si="26"/>
        <v>0</v>
      </c>
      <c r="AL29" s="9"/>
      <c r="AM29" s="9"/>
      <c r="AN29" s="7">
        <f t="shared" si="27"/>
        <v>0</v>
      </c>
      <c r="AO29" s="7">
        <f t="shared" si="28"/>
        <v>0</v>
      </c>
      <c r="AP29" s="11">
        <f t="shared" si="7"/>
        <v>0</v>
      </c>
      <c r="AQ29" s="9"/>
      <c r="AR29" s="9"/>
      <c r="AS29" s="7">
        <f t="shared" si="29"/>
        <v>0</v>
      </c>
      <c r="AT29" s="7">
        <f t="shared" si="30"/>
        <v>0</v>
      </c>
      <c r="AU29" s="11">
        <f t="shared" si="8"/>
        <v>0</v>
      </c>
      <c r="AV29" s="9"/>
      <c r="AW29" s="9"/>
      <c r="AX29" s="7">
        <f t="shared" si="31"/>
        <v>0</v>
      </c>
      <c r="AY29" s="7">
        <f t="shared" si="32"/>
        <v>0</v>
      </c>
      <c r="AZ29" s="11">
        <f t="shared" si="9"/>
        <v>0</v>
      </c>
      <c r="BA29" s="9"/>
      <c r="BB29" s="9"/>
      <c r="BC29" s="7">
        <f t="shared" si="33"/>
        <v>0</v>
      </c>
      <c r="BD29" s="7">
        <f t="shared" si="34"/>
        <v>0</v>
      </c>
      <c r="BE29" s="11">
        <f t="shared" si="10"/>
        <v>0</v>
      </c>
      <c r="BF29" s="9"/>
      <c r="BG29" s="9"/>
      <c r="BH29" s="7">
        <f t="shared" si="35"/>
        <v>0</v>
      </c>
      <c r="BI29" s="7">
        <f t="shared" si="36"/>
        <v>0</v>
      </c>
      <c r="BJ29" s="11">
        <f t="shared" si="11"/>
        <v>0</v>
      </c>
      <c r="BK29" s="9"/>
      <c r="BL29" s="9"/>
      <c r="BM29" s="7">
        <f t="shared" si="37"/>
        <v>0</v>
      </c>
      <c r="BN29" s="7">
        <f t="shared" si="38"/>
        <v>0</v>
      </c>
      <c r="BO29" s="11">
        <f t="shared" si="12"/>
        <v>0</v>
      </c>
    </row>
    <row r="30" spans="1:67" x14ac:dyDescent="0.25">
      <c r="A30" t="s">
        <v>113</v>
      </c>
      <c r="B30" s="1">
        <v>1726</v>
      </c>
      <c r="C30">
        <v>215</v>
      </c>
      <c r="D30" s="7">
        <f t="shared" si="0"/>
        <v>150</v>
      </c>
      <c r="E30" s="16"/>
      <c r="H30" s="7">
        <f t="shared" si="13"/>
        <v>0</v>
      </c>
      <c r="I30" s="7">
        <f t="shared" si="14"/>
        <v>0</v>
      </c>
      <c r="J30" s="12">
        <f t="shared" si="1"/>
        <v>0</v>
      </c>
      <c r="M30" s="7">
        <f t="shared" si="15"/>
        <v>0</v>
      </c>
      <c r="N30" s="7">
        <f t="shared" si="16"/>
        <v>0</v>
      </c>
      <c r="O30" s="12">
        <f t="shared" si="2"/>
        <v>0</v>
      </c>
      <c r="R30" s="7">
        <f t="shared" si="17"/>
        <v>0</v>
      </c>
      <c r="S30" s="7">
        <f t="shared" si="18"/>
        <v>0</v>
      </c>
      <c r="T30" s="12">
        <f t="shared" si="3"/>
        <v>0</v>
      </c>
      <c r="U30" s="6">
        <v>2.5</v>
      </c>
      <c r="W30" s="7">
        <f t="shared" si="19"/>
        <v>150</v>
      </c>
      <c r="X30" s="7">
        <f t="shared" si="20"/>
        <v>0</v>
      </c>
      <c r="Y30" s="23">
        <f t="shared" si="4"/>
        <v>150</v>
      </c>
      <c r="Z30" s="26">
        <f t="shared" si="21"/>
        <v>150</v>
      </c>
      <c r="AC30" s="7">
        <f t="shared" si="22"/>
        <v>0</v>
      </c>
      <c r="AD30" s="7">
        <f t="shared" si="23"/>
        <v>0</v>
      </c>
      <c r="AE30" s="12">
        <f t="shared" si="5"/>
        <v>0</v>
      </c>
      <c r="AH30" s="7">
        <f t="shared" si="24"/>
        <v>0</v>
      </c>
      <c r="AI30" s="7">
        <f t="shared" si="25"/>
        <v>0</v>
      </c>
      <c r="AJ30" s="23">
        <f t="shared" si="6"/>
        <v>0</v>
      </c>
      <c r="AK30" s="26">
        <f t="shared" si="26"/>
        <v>0</v>
      </c>
      <c r="AN30" s="7">
        <f t="shared" si="27"/>
        <v>0</v>
      </c>
      <c r="AO30" s="7">
        <f t="shared" si="28"/>
        <v>0</v>
      </c>
      <c r="AP30" s="12">
        <f t="shared" si="7"/>
        <v>0</v>
      </c>
      <c r="AS30" s="7">
        <f t="shared" si="29"/>
        <v>0</v>
      </c>
      <c r="AT30" s="7">
        <f t="shared" si="30"/>
        <v>0</v>
      </c>
      <c r="AU30" s="12">
        <f t="shared" si="8"/>
        <v>0</v>
      </c>
      <c r="AX30" s="7">
        <f t="shared" si="31"/>
        <v>0</v>
      </c>
      <c r="AY30" s="7">
        <f t="shared" si="32"/>
        <v>0</v>
      </c>
      <c r="AZ30" s="12">
        <f t="shared" si="9"/>
        <v>0</v>
      </c>
      <c r="BC30" s="7">
        <f t="shared" si="33"/>
        <v>0</v>
      </c>
      <c r="BD30" s="7">
        <f t="shared" si="34"/>
        <v>0</v>
      </c>
      <c r="BE30" s="12">
        <f t="shared" si="10"/>
        <v>0</v>
      </c>
      <c r="BH30" s="7">
        <f t="shared" si="35"/>
        <v>0</v>
      </c>
      <c r="BI30" s="7">
        <f t="shared" si="36"/>
        <v>0</v>
      </c>
      <c r="BJ30" s="12">
        <f t="shared" si="11"/>
        <v>0</v>
      </c>
      <c r="BM30" s="7">
        <f t="shared" si="37"/>
        <v>0</v>
      </c>
      <c r="BN30" s="7">
        <f t="shared" si="38"/>
        <v>0</v>
      </c>
      <c r="BO30" s="12">
        <f t="shared" si="12"/>
        <v>0</v>
      </c>
    </row>
    <row r="31" spans="1:67" x14ac:dyDescent="0.25">
      <c r="A31" t="s">
        <v>37</v>
      </c>
      <c r="B31" s="1">
        <v>1336</v>
      </c>
      <c r="C31">
        <v>260</v>
      </c>
      <c r="D31" s="7">
        <f t="shared" si="0"/>
        <v>3150</v>
      </c>
      <c r="E31" s="16"/>
      <c r="F31" s="19"/>
      <c r="G31" s="9"/>
      <c r="H31" s="7">
        <f t="shared" si="13"/>
        <v>0</v>
      </c>
      <c r="I31" s="7">
        <f t="shared" si="14"/>
        <v>0</v>
      </c>
      <c r="J31" s="11">
        <f t="shared" si="1"/>
        <v>0</v>
      </c>
      <c r="K31" s="9"/>
      <c r="L31" s="9"/>
      <c r="M31" s="7">
        <f t="shared" si="15"/>
        <v>0</v>
      </c>
      <c r="N31" s="7">
        <f t="shared" si="16"/>
        <v>0</v>
      </c>
      <c r="O31" s="11">
        <f t="shared" si="2"/>
        <v>0</v>
      </c>
      <c r="P31" s="9">
        <v>2.5</v>
      </c>
      <c r="Q31" s="9">
        <v>15</v>
      </c>
      <c r="R31" s="7">
        <f t="shared" si="17"/>
        <v>180</v>
      </c>
      <c r="S31" s="7">
        <f t="shared" si="18"/>
        <v>2150</v>
      </c>
      <c r="T31" s="11">
        <f t="shared" si="3"/>
        <v>2330</v>
      </c>
      <c r="U31" s="9">
        <v>11.5</v>
      </c>
      <c r="V31" s="9"/>
      <c r="W31" s="7">
        <f t="shared" si="19"/>
        <v>820</v>
      </c>
      <c r="X31" s="7">
        <f t="shared" si="20"/>
        <v>0</v>
      </c>
      <c r="Y31" s="22">
        <f t="shared" si="4"/>
        <v>820</v>
      </c>
      <c r="Z31" s="26">
        <f t="shared" si="21"/>
        <v>3150</v>
      </c>
      <c r="AA31" s="9"/>
      <c r="AB31" s="9"/>
      <c r="AC31" s="7">
        <f t="shared" si="22"/>
        <v>0</v>
      </c>
      <c r="AD31" s="7">
        <f t="shared" si="23"/>
        <v>0</v>
      </c>
      <c r="AE31" s="11">
        <f t="shared" si="5"/>
        <v>0</v>
      </c>
      <c r="AF31" s="9"/>
      <c r="AG31" s="9"/>
      <c r="AH31" s="7">
        <f t="shared" si="24"/>
        <v>0</v>
      </c>
      <c r="AI31" s="7">
        <f t="shared" si="25"/>
        <v>0</v>
      </c>
      <c r="AJ31" s="22">
        <f t="shared" si="6"/>
        <v>0</v>
      </c>
      <c r="AK31" s="26">
        <f t="shared" si="26"/>
        <v>0</v>
      </c>
      <c r="AL31" s="9"/>
      <c r="AM31" s="9"/>
      <c r="AN31" s="7">
        <f t="shared" si="27"/>
        <v>0</v>
      </c>
      <c r="AO31" s="7">
        <f t="shared" si="28"/>
        <v>0</v>
      </c>
      <c r="AP31" s="11">
        <f t="shared" si="7"/>
        <v>0</v>
      </c>
      <c r="AQ31" s="9"/>
      <c r="AR31" s="9"/>
      <c r="AS31" s="7">
        <f t="shared" si="29"/>
        <v>0</v>
      </c>
      <c r="AT31" s="7">
        <f t="shared" si="30"/>
        <v>0</v>
      </c>
      <c r="AU31" s="11">
        <f t="shared" si="8"/>
        <v>0</v>
      </c>
      <c r="AV31" s="9"/>
      <c r="AW31" s="9"/>
      <c r="AX31" s="7">
        <f t="shared" si="31"/>
        <v>0</v>
      </c>
      <c r="AY31" s="7">
        <f t="shared" si="32"/>
        <v>0</v>
      </c>
      <c r="AZ31" s="11">
        <f t="shared" si="9"/>
        <v>0</v>
      </c>
      <c r="BA31" s="9"/>
      <c r="BB31" s="9"/>
      <c r="BC31" s="7">
        <f t="shared" si="33"/>
        <v>0</v>
      </c>
      <c r="BD31" s="7">
        <f t="shared" si="34"/>
        <v>0</v>
      </c>
      <c r="BE31" s="11">
        <f t="shared" si="10"/>
        <v>0</v>
      </c>
      <c r="BF31" s="9"/>
      <c r="BG31" s="9"/>
      <c r="BH31" s="7">
        <f t="shared" si="35"/>
        <v>0</v>
      </c>
      <c r="BI31" s="7">
        <f t="shared" si="36"/>
        <v>0</v>
      </c>
      <c r="BJ31" s="11">
        <f t="shared" si="11"/>
        <v>0</v>
      </c>
      <c r="BK31" s="9"/>
      <c r="BL31" s="9"/>
      <c r="BM31" s="7">
        <f t="shared" si="37"/>
        <v>0</v>
      </c>
      <c r="BN31" s="7">
        <f t="shared" si="38"/>
        <v>0</v>
      </c>
      <c r="BO31" s="11">
        <f t="shared" si="12"/>
        <v>0</v>
      </c>
    </row>
    <row r="32" spans="1:67" x14ac:dyDescent="0.25">
      <c r="A32" t="s">
        <v>38</v>
      </c>
      <c r="B32" s="1">
        <v>1429</v>
      </c>
      <c r="C32">
        <v>200</v>
      </c>
      <c r="D32" s="7">
        <f t="shared" si="0"/>
        <v>0</v>
      </c>
      <c r="E32" s="16"/>
      <c r="F32" s="19"/>
      <c r="G32" s="9"/>
      <c r="H32" s="7">
        <f t="shared" si="13"/>
        <v>0</v>
      </c>
      <c r="I32" s="7">
        <f t="shared" si="14"/>
        <v>0</v>
      </c>
      <c r="J32" s="11">
        <f t="shared" si="1"/>
        <v>0</v>
      </c>
      <c r="K32" s="9"/>
      <c r="L32" s="9"/>
      <c r="M32" s="7">
        <f t="shared" si="15"/>
        <v>0</v>
      </c>
      <c r="N32" s="7">
        <f t="shared" si="16"/>
        <v>0</v>
      </c>
      <c r="O32" s="11">
        <f t="shared" si="2"/>
        <v>0</v>
      </c>
      <c r="P32" s="9"/>
      <c r="Q32" s="9"/>
      <c r="R32" s="7">
        <f t="shared" si="17"/>
        <v>0</v>
      </c>
      <c r="S32" s="7">
        <f t="shared" si="18"/>
        <v>0</v>
      </c>
      <c r="T32" s="11">
        <f t="shared" si="3"/>
        <v>0</v>
      </c>
      <c r="U32" s="9"/>
      <c r="V32" s="9"/>
      <c r="W32" s="7">
        <f t="shared" si="19"/>
        <v>0</v>
      </c>
      <c r="X32" s="7">
        <f t="shared" si="20"/>
        <v>0</v>
      </c>
      <c r="Y32" s="22">
        <f t="shared" si="4"/>
        <v>0</v>
      </c>
      <c r="Z32" s="26">
        <f t="shared" si="21"/>
        <v>0</v>
      </c>
      <c r="AA32" s="9"/>
      <c r="AB32" s="9"/>
      <c r="AC32" s="7">
        <f t="shared" si="22"/>
        <v>0</v>
      </c>
      <c r="AD32" s="7">
        <f t="shared" si="23"/>
        <v>0</v>
      </c>
      <c r="AE32" s="11">
        <f t="shared" si="5"/>
        <v>0</v>
      </c>
      <c r="AF32" s="9"/>
      <c r="AG32" s="9"/>
      <c r="AH32" s="7">
        <f t="shared" si="24"/>
        <v>0</v>
      </c>
      <c r="AI32" s="7">
        <f t="shared" si="25"/>
        <v>0</v>
      </c>
      <c r="AJ32" s="22">
        <f t="shared" si="6"/>
        <v>0</v>
      </c>
      <c r="AK32" s="26">
        <f t="shared" si="26"/>
        <v>0</v>
      </c>
      <c r="AL32" s="9"/>
      <c r="AM32" s="9"/>
      <c r="AN32" s="7">
        <f t="shared" si="27"/>
        <v>0</v>
      </c>
      <c r="AO32" s="7">
        <f t="shared" si="28"/>
        <v>0</v>
      </c>
      <c r="AP32" s="11">
        <f t="shared" si="7"/>
        <v>0</v>
      </c>
      <c r="AQ32" s="9"/>
      <c r="AR32" s="9"/>
      <c r="AS32" s="7">
        <f t="shared" si="29"/>
        <v>0</v>
      </c>
      <c r="AT32" s="7">
        <f t="shared" si="30"/>
        <v>0</v>
      </c>
      <c r="AU32" s="11">
        <f t="shared" si="8"/>
        <v>0</v>
      </c>
      <c r="AV32" s="9"/>
      <c r="AW32" s="9"/>
      <c r="AX32" s="7">
        <f t="shared" si="31"/>
        <v>0</v>
      </c>
      <c r="AY32" s="7">
        <f t="shared" si="32"/>
        <v>0</v>
      </c>
      <c r="AZ32" s="11">
        <f t="shared" si="9"/>
        <v>0</v>
      </c>
      <c r="BA32" s="9"/>
      <c r="BB32" s="9"/>
      <c r="BC32" s="7">
        <f t="shared" si="33"/>
        <v>0</v>
      </c>
      <c r="BD32" s="7">
        <f t="shared" si="34"/>
        <v>0</v>
      </c>
      <c r="BE32" s="11">
        <f t="shared" si="10"/>
        <v>0</v>
      </c>
      <c r="BF32" s="9"/>
      <c r="BG32" s="9"/>
      <c r="BH32" s="7">
        <f t="shared" si="35"/>
        <v>0</v>
      </c>
      <c r="BI32" s="7">
        <f t="shared" si="36"/>
        <v>0</v>
      </c>
      <c r="BJ32" s="11">
        <f t="shared" si="11"/>
        <v>0</v>
      </c>
      <c r="BK32" s="9"/>
      <c r="BL32" s="9"/>
      <c r="BM32" s="7">
        <f t="shared" si="37"/>
        <v>0</v>
      </c>
      <c r="BN32" s="7">
        <f t="shared" si="38"/>
        <v>0</v>
      </c>
      <c r="BO32" s="11">
        <f t="shared" si="12"/>
        <v>0</v>
      </c>
    </row>
    <row r="33" spans="1:67" x14ac:dyDescent="0.25">
      <c r="A33" t="s">
        <v>39</v>
      </c>
      <c r="B33" s="1">
        <v>1617</v>
      </c>
      <c r="C33">
        <v>200</v>
      </c>
      <c r="D33" s="7">
        <f t="shared" si="0"/>
        <v>2480</v>
      </c>
      <c r="E33" s="16"/>
      <c r="F33" s="19"/>
      <c r="G33" s="9"/>
      <c r="H33" s="7">
        <f t="shared" si="13"/>
        <v>0</v>
      </c>
      <c r="I33" s="7">
        <f t="shared" si="14"/>
        <v>0</v>
      </c>
      <c r="J33" s="11">
        <f t="shared" si="1"/>
        <v>0</v>
      </c>
      <c r="K33" s="9"/>
      <c r="L33" s="9"/>
      <c r="M33" s="7">
        <f t="shared" si="15"/>
        <v>0</v>
      </c>
      <c r="N33" s="7">
        <f t="shared" si="16"/>
        <v>0</v>
      </c>
      <c r="O33" s="11">
        <f t="shared" si="2"/>
        <v>0</v>
      </c>
      <c r="P33" s="9"/>
      <c r="Q33" s="9">
        <v>15</v>
      </c>
      <c r="R33" s="7">
        <f t="shared" si="17"/>
        <v>0</v>
      </c>
      <c r="S33" s="7">
        <f t="shared" si="18"/>
        <v>1650</v>
      </c>
      <c r="T33" s="11">
        <f t="shared" si="3"/>
        <v>1650</v>
      </c>
      <c r="U33" s="9"/>
      <c r="V33" s="9">
        <v>7.5</v>
      </c>
      <c r="W33" s="7">
        <f t="shared" si="19"/>
        <v>0</v>
      </c>
      <c r="X33" s="7">
        <f t="shared" si="20"/>
        <v>830</v>
      </c>
      <c r="Y33" s="22">
        <f t="shared" si="4"/>
        <v>830</v>
      </c>
      <c r="Z33" s="26">
        <f t="shared" si="21"/>
        <v>2480</v>
      </c>
      <c r="AA33" s="9"/>
      <c r="AB33" s="9"/>
      <c r="AC33" s="7">
        <f t="shared" si="22"/>
        <v>0</v>
      </c>
      <c r="AD33" s="7">
        <f t="shared" si="23"/>
        <v>0</v>
      </c>
      <c r="AE33" s="11">
        <f t="shared" si="5"/>
        <v>0</v>
      </c>
      <c r="AF33" s="9"/>
      <c r="AG33" s="9"/>
      <c r="AH33" s="7">
        <f t="shared" si="24"/>
        <v>0</v>
      </c>
      <c r="AI33" s="7">
        <f t="shared" si="25"/>
        <v>0</v>
      </c>
      <c r="AJ33" s="22">
        <f t="shared" si="6"/>
        <v>0</v>
      </c>
      <c r="AK33" s="26">
        <f t="shared" si="26"/>
        <v>0</v>
      </c>
      <c r="AL33" s="9"/>
      <c r="AM33" s="9"/>
      <c r="AN33" s="7">
        <f t="shared" si="27"/>
        <v>0</v>
      </c>
      <c r="AO33" s="7">
        <f t="shared" si="28"/>
        <v>0</v>
      </c>
      <c r="AP33" s="11">
        <f t="shared" si="7"/>
        <v>0</v>
      </c>
      <c r="AQ33" s="9"/>
      <c r="AR33" s="9"/>
      <c r="AS33" s="7">
        <f t="shared" si="29"/>
        <v>0</v>
      </c>
      <c r="AT33" s="7">
        <f t="shared" si="30"/>
        <v>0</v>
      </c>
      <c r="AU33" s="11">
        <f t="shared" si="8"/>
        <v>0</v>
      </c>
      <c r="AV33" s="9"/>
      <c r="AW33" s="9"/>
      <c r="AX33" s="7">
        <f t="shared" si="31"/>
        <v>0</v>
      </c>
      <c r="AY33" s="7">
        <f t="shared" si="32"/>
        <v>0</v>
      </c>
      <c r="AZ33" s="11">
        <f t="shared" si="9"/>
        <v>0</v>
      </c>
      <c r="BA33" s="9"/>
      <c r="BB33" s="9"/>
      <c r="BC33" s="7">
        <f t="shared" si="33"/>
        <v>0</v>
      </c>
      <c r="BD33" s="7">
        <f t="shared" si="34"/>
        <v>0</v>
      </c>
      <c r="BE33" s="11">
        <f t="shared" si="10"/>
        <v>0</v>
      </c>
      <c r="BF33" s="9"/>
      <c r="BG33" s="9"/>
      <c r="BH33" s="7">
        <f t="shared" si="35"/>
        <v>0</v>
      </c>
      <c r="BI33" s="7">
        <f t="shared" si="36"/>
        <v>0</v>
      </c>
      <c r="BJ33" s="11">
        <f t="shared" si="11"/>
        <v>0</v>
      </c>
      <c r="BK33" s="9"/>
      <c r="BL33" s="9"/>
      <c r="BM33" s="7">
        <f t="shared" si="37"/>
        <v>0</v>
      </c>
      <c r="BN33" s="7">
        <f t="shared" si="38"/>
        <v>0</v>
      </c>
      <c r="BO33" s="11">
        <f t="shared" si="12"/>
        <v>0</v>
      </c>
    </row>
    <row r="34" spans="1:67" x14ac:dyDescent="0.25">
      <c r="A34" t="s">
        <v>40</v>
      </c>
      <c r="B34" s="1">
        <v>1712</v>
      </c>
      <c r="C34">
        <v>200</v>
      </c>
      <c r="D34" s="7">
        <f t="shared" si="0"/>
        <v>0</v>
      </c>
      <c r="E34" s="16"/>
      <c r="F34" s="19"/>
      <c r="G34" s="9"/>
      <c r="H34" s="7">
        <f t="shared" si="13"/>
        <v>0</v>
      </c>
      <c r="I34" s="7">
        <f t="shared" si="14"/>
        <v>0</v>
      </c>
      <c r="J34" s="11">
        <f t="shared" si="1"/>
        <v>0</v>
      </c>
      <c r="K34" s="9"/>
      <c r="L34" s="9"/>
      <c r="M34" s="7">
        <f t="shared" si="15"/>
        <v>0</v>
      </c>
      <c r="N34" s="7">
        <f t="shared" si="16"/>
        <v>0</v>
      </c>
      <c r="O34" s="11">
        <f t="shared" si="2"/>
        <v>0</v>
      </c>
      <c r="P34" s="9"/>
      <c r="Q34" s="9"/>
      <c r="R34" s="7">
        <f t="shared" si="17"/>
        <v>0</v>
      </c>
      <c r="S34" s="7">
        <f t="shared" si="18"/>
        <v>0</v>
      </c>
      <c r="T34" s="11">
        <f t="shared" si="3"/>
        <v>0</v>
      </c>
      <c r="U34" s="9"/>
      <c r="V34" s="9"/>
      <c r="W34" s="7">
        <f t="shared" si="19"/>
        <v>0</v>
      </c>
      <c r="X34" s="7">
        <f t="shared" si="20"/>
        <v>0</v>
      </c>
      <c r="Y34" s="22">
        <f t="shared" si="4"/>
        <v>0</v>
      </c>
      <c r="Z34" s="26">
        <f t="shared" si="21"/>
        <v>0</v>
      </c>
      <c r="AA34" s="9"/>
      <c r="AB34" s="9"/>
      <c r="AC34" s="7">
        <f t="shared" si="22"/>
        <v>0</v>
      </c>
      <c r="AD34" s="7">
        <f t="shared" si="23"/>
        <v>0</v>
      </c>
      <c r="AE34" s="11">
        <f t="shared" si="5"/>
        <v>0</v>
      </c>
      <c r="AF34" s="9"/>
      <c r="AG34" s="9"/>
      <c r="AH34" s="7">
        <f t="shared" si="24"/>
        <v>0</v>
      </c>
      <c r="AI34" s="7">
        <f t="shared" si="25"/>
        <v>0</v>
      </c>
      <c r="AJ34" s="22">
        <f t="shared" si="6"/>
        <v>0</v>
      </c>
      <c r="AK34" s="26">
        <f t="shared" si="26"/>
        <v>0</v>
      </c>
      <c r="AL34" s="9"/>
      <c r="AM34" s="9"/>
      <c r="AN34" s="7">
        <f t="shared" si="27"/>
        <v>0</v>
      </c>
      <c r="AO34" s="7">
        <f t="shared" si="28"/>
        <v>0</v>
      </c>
      <c r="AP34" s="11">
        <f t="shared" si="7"/>
        <v>0</v>
      </c>
      <c r="AQ34" s="9"/>
      <c r="AR34" s="9"/>
      <c r="AS34" s="7">
        <f t="shared" si="29"/>
        <v>0</v>
      </c>
      <c r="AT34" s="7">
        <f t="shared" si="30"/>
        <v>0</v>
      </c>
      <c r="AU34" s="11">
        <f t="shared" si="8"/>
        <v>0</v>
      </c>
      <c r="AV34" s="9"/>
      <c r="AW34" s="9"/>
      <c r="AX34" s="7">
        <f t="shared" si="31"/>
        <v>0</v>
      </c>
      <c r="AY34" s="7">
        <f t="shared" si="32"/>
        <v>0</v>
      </c>
      <c r="AZ34" s="11">
        <f t="shared" si="9"/>
        <v>0</v>
      </c>
      <c r="BA34" s="9"/>
      <c r="BB34" s="9"/>
      <c r="BC34" s="7">
        <f t="shared" si="33"/>
        <v>0</v>
      </c>
      <c r="BD34" s="7">
        <f t="shared" si="34"/>
        <v>0</v>
      </c>
      <c r="BE34" s="11">
        <f t="shared" si="10"/>
        <v>0</v>
      </c>
      <c r="BF34" s="9"/>
      <c r="BG34" s="9"/>
      <c r="BH34" s="7">
        <f t="shared" si="35"/>
        <v>0</v>
      </c>
      <c r="BI34" s="7">
        <f t="shared" si="36"/>
        <v>0</v>
      </c>
      <c r="BJ34" s="11">
        <f t="shared" si="11"/>
        <v>0</v>
      </c>
      <c r="BK34" s="9"/>
      <c r="BL34" s="9"/>
      <c r="BM34" s="7">
        <f t="shared" si="37"/>
        <v>0</v>
      </c>
      <c r="BN34" s="7">
        <f t="shared" si="38"/>
        <v>0</v>
      </c>
      <c r="BO34" s="11">
        <f t="shared" si="12"/>
        <v>0</v>
      </c>
    </row>
    <row r="35" spans="1:67" x14ac:dyDescent="0.25">
      <c r="A35" t="s">
        <v>41</v>
      </c>
      <c r="B35" s="1">
        <v>1574</v>
      </c>
      <c r="C35">
        <v>215</v>
      </c>
      <c r="D35" s="7">
        <f t="shared" si="0"/>
        <v>2780</v>
      </c>
      <c r="E35" s="16"/>
      <c r="F35" s="19"/>
      <c r="G35" s="9"/>
      <c r="H35" s="7">
        <f t="shared" si="13"/>
        <v>0</v>
      </c>
      <c r="I35" s="7">
        <f t="shared" si="14"/>
        <v>0</v>
      </c>
      <c r="J35" s="11">
        <f t="shared" si="1"/>
        <v>0</v>
      </c>
      <c r="K35" s="9"/>
      <c r="L35" s="9"/>
      <c r="M35" s="7">
        <f t="shared" si="15"/>
        <v>0</v>
      </c>
      <c r="N35" s="7">
        <f t="shared" si="16"/>
        <v>0</v>
      </c>
      <c r="O35" s="11">
        <f t="shared" si="2"/>
        <v>0</v>
      </c>
      <c r="P35" s="9">
        <v>8</v>
      </c>
      <c r="Q35" s="9"/>
      <c r="R35" s="7">
        <f t="shared" si="17"/>
        <v>470</v>
      </c>
      <c r="S35" s="7">
        <f t="shared" si="18"/>
        <v>0</v>
      </c>
      <c r="T35" s="11">
        <f t="shared" si="3"/>
        <v>470</v>
      </c>
      <c r="U35" s="9">
        <v>2</v>
      </c>
      <c r="V35" s="9">
        <v>18.5</v>
      </c>
      <c r="W35" s="7">
        <f t="shared" si="19"/>
        <v>120</v>
      </c>
      <c r="X35" s="7">
        <f t="shared" si="20"/>
        <v>2190</v>
      </c>
      <c r="Y35" s="22">
        <f t="shared" si="4"/>
        <v>2310</v>
      </c>
      <c r="Z35" s="26">
        <f t="shared" si="21"/>
        <v>2780</v>
      </c>
      <c r="AA35" s="9"/>
      <c r="AB35" s="9"/>
      <c r="AC35" s="7">
        <f t="shared" si="22"/>
        <v>0</v>
      </c>
      <c r="AD35" s="7">
        <f t="shared" si="23"/>
        <v>0</v>
      </c>
      <c r="AE35" s="11">
        <f t="shared" si="5"/>
        <v>0</v>
      </c>
      <c r="AF35" s="9"/>
      <c r="AG35" s="9"/>
      <c r="AH35" s="7">
        <f t="shared" si="24"/>
        <v>0</v>
      </c>
      <c r="AI35" s="7">
        <f t="shared" si="25"/>
        <v>0</v>
      </c>
      <c r="AJ35" s="22">
        <f t="shared" si="6"/>
        <v>0</v>
      </c>
      <c r="AK35" s="26">
        <f t="shared" si="26"/>
        <v>0</v>
      </c>
      <c r="AL35" s="9"/>
      <c r="AM35" s="9"/>
      <c r="AN35" s="7">
        <f t="shared" si="27"/>
        <v>0</v>
      </c>
      <c r="AO35" s="7">
        <f t="shared" si="28"/>
        <v>0</v>
      </c>
      <c r="AP35" s="11">
        <f t="shared" si="7"/>
        <v>0</v>
      </c>
      <c r="AQ35" s="9"/>
      <c r="AR35" s="9"/>
      <c r="AS35" s="7">
        <f t="shared" si="29"/>
        <v>0</v>
      </c>
      <c r="AT35" s="7">
        <f t="shared" si="30"/>
        <v>0</v>
      </c>
      <c r="AU35" s="11">
        <f t="shared" si="8"/>
        <v>0</v>
      </c>
      <c r="AV35" s="9"/>
      <c r="AW35" s="9"/>
      <c r="AX35" s="7">
        <f t="shared" si="31"/>
        <v>0</v>
      </c>
      <c r="AY35" s="7">
        <f t="shared" si="32"/>
        <v>0</v>
      </c>
      <c r="AZ35" s="11">
        <f t="shared" si="9"/>
        <v>0</v>
      </c>
      <c r="BA35" s="9"/>
      <c r="BB35" s="9"/>
      <c r="BC35" s="7">
        <f t="shared" si="33"/>
        <v>0</v>
      </c>
      <c r="BD35" s="7">
        <f t="shared" si="34"/>
        <v>0</v>
      </c>
      <c r="BE35" s="11">
        <f t="shared" si="10"/>
        <v>0</v>
      </c>
      <c r="BF35" s="9"/>
      <c r="BG35" s="9"/>
      <c r="BH35" s="7">
        <f t="shared" si="35"/>
        <v>0</v>
      </c>
      <c r="BI35" s="7">
        <f t="shared" si="36"/>
        <v>0</v>
      </c>
      <c r="BJ35" s="11">
        <f t="shared" si="11"/>
        <v>0</v>
      </c>
      <c r="BK35" s="9"/>
      <c r="BL35" s="9"/>
      <c r="BM35" s="7">
        <f t="shared" si="37"/>
        <v>0</v>
      </c>
      <c r="BN35" s="7">
        <f t="shared" si="38"/>
        <v>0</v>
      </c>
      <c r="BO35" s="11">
        <f t="shared" si="12"/>
        <v>0</v>
      </c>
    </row>
    <row r="36" spans="1:67" x14ac:dyDescent="0.25">
      <c r="A36" t="s">
        <v>42</v>
      </c>
      <c r="B36" s="1">
        <v>1257</v>
      </c>
      <c r="C36">
        <v>245</v>
      </c>
      <c r="D36" s="7">
        <f t="shared" si="0"/>
        <v>3030</v>
      </c>
      <c r="E36" s="16"/>
      <c r="F36" s="19"/>
      <c r="G36" s="9"/>
      <c r="H36" s="7">
        <f t="shared" si="13"/>
        <v>0</v>
      </c>
      <c r="I36" s="7">
        <f t="shared" si="14"/>
        <v>0</v>
      </c>
      <c r="J36" s="11">
        <f t="shared" si="1"/>
        <v>0</v>
      </c>
      <c r="K36" s="9"/>
      <c r="L36" s="9"/>
      <c r="M36" s="7">
        <f t="shared" si="15"/>
        <v>0</v>
      </c>
      <c r="N36" s="7">
        <f t="shared" si="16"/>
        <v>0</v>
      </c>
      <c r="O36" s="11">
        <f t="shared" si="2"/>
        <v>0</v>
      </c>
      <c r="P36" s="9"/>
      <c r="Q36" s="9">
        <v>22.5</v>
      </c>
      <c r="R36" s="7">
        <f t="shared" si="17"/>
        <v>0</v>
      </c>
      <c r="S36" s="7">
        <f t="shared" si="18"/>
        <v>3030</v>
      </c>
      <c r="T36" s="11">
        <f t="shared" si="3"/>
        <v>3030</v>
      </c>
      <c r="U36" s="9"/>
      <c r="V36" s="9"/>
      <c r="W36" s="7">
        <f t="shared" si="19"/>
        <v>0</v>
      </c>
      <c r="X36" s="7">
        <f t="shared" si="20"/>
        <v>0</v>
      </c>
      <c r="Y36" s="22">
        <f t="shared" si="4"/>
        <v>0</v>
      </c>
      <c r="Z36" s="26">
        <f t="shared" si="21"/>
        <v>3030</v>
      </c>
      <c r="AA36" s="9"/>
      <c r="AB36" s="9"/>
      <c r="AC36" s="7">
        <f t="shared" si="22"/>
        <v>0</v>
      </c>
      <c r="AD36" s="7">
        <f t="shared" si="23"/>
        <v>0</v>
      </c>
      <c r="AE36" s="11">
        <f t="shared" si="5"/>
        <v>0</v>
      </c>
      <c r="AF36" s="9"/>
      <c r="AG36" s="9"/>
      <c r="AH36" s="7">
        <f t="shared" si="24"/>
        <v>0</v>
      </c>
      <c r="AI36" s="7">
        <f t="shared" si="25"/>
        <v>0</v>
      </c>
      <c r="AJ36" s="22">
        <f t="shared" si="6"/>
        <v>0</v>
      </c>
      <c r="AK36" s="26">
        <f t="shared" si="26"/>
        <v>0</v>
      </c>
      <c r="AL36" s="9"/>
      <c r="AM36" s="9"/>
      <c r="AN36" s="7">
        <f t="shared" si="27"/>
        <v>0</v>
      </c>
      <c r="AO36" s="7">
        <f t="shared" si="28"/>
        <v>0</v>
      </c>
      <c r="AP36" s="11">
        <f t="shared" si="7"/>
        <v>0</v>
      </c>
      <c r="AQ36" s="9"/>
      <c r="AR36" s="9"/>
      <c r="AS36" s="7">
        <f t="shared" si="29"/>
        <v>0</v>
      </c>
      <c r="AT36" s="7">
        <f t="shared" si="30"/>
        <v>0</v>
      </c>
      <c r="AU36" s="11">
        <f t="shared" si="8"/>
        <v>0</v>
      </c>
      <c r="AV36" s="9"/>
      <c r="AW36" s="9"/>
      <c r="AX36" s="7">
        <f t="shared" si="31"/>
        <v>0</v>
      </c>
      <c r="AY36" s="7">
        <f t="shared" si="32"/>
        <v>0</v>
      </c>
      <c r="AZ36" s="11">
        <f t="shared" si="9"/>
        <v>0</v>
      </c>
      <c r="BA36" s="9"/>
      <c r="BB36" s="9"/>
      <c r="BC36" s="7">
        <f t="shared" si="33"/>
        <v>0</v>
      </c>
      <c r="BD36" s="7">
        <f t="shared" si="34"/>
        <v>0</v>
      </c>
      <c r="BE36" s="11">
        <f t="shared" si="10"/>
        <v>0</v>
      </c>
      <c r="BF36" s="9"/>
      <c r="BG36" s="9"/>
      <c r="BH36" s="7">
        <f t="shared" si="35"/>
        <v>0</v>
      </c>
      <c r="BI36" s="7">
        <f t="shared" si="36"/>
        <v>0</v>
      </c>
      <c r="BJ36" s="11">
        <f t="shared" si="11"/>
        <v>0</v>
      </c>
      <c r="BK36" s="9"/>
      <c r="BL36" s="9"/>
      <c r="BM36" s="7">
        <f t="shared" si="37"/>
        <v>0</v>
      </c>
      <c r="BN36" s="7">
        <f t="shared" si="38"/>
        <v>0</v>
      </c>
      <c r="BO36" s="11">
        <f t="shared" si="12"/>
        <v>0</v>
      </c>
    </row>
    <row r="37" spans="1:67" x14ac:dyDescent="0.25">
      <c r="A37" t="s">
        <v>43</v>
      </c>
      <c r="B37" s="1">
        <v>1709</v>
      </c>
      <c r="C37">
        <v>215</v>
      </c>
      <c r="D37" s="7">
        <f t="shared" ref="D37:D68" si="39">J37+O37+T37+Y37+AE37+AJ37+AP37+AU37+AZ37+BE37+BJ37+BO37</f>
        <v>1860</v>
      </c>
      <c r="E37" s="16"/>
      <c r="F37" s="19"/>
      <c r="G37" s="9"/>
      <c r="H37" s="7">
        <f t="shared" si="13"/>
        <v>0</v>
      </c>
      <c r="I37" s="7">
        <f t="shared" si="14"/>
        <v>0</v>
      </c>
      <c r="J37" s="11">
        <f t="shared" si="1"/>
        <v>0</v>
      </c>
      <c r="K37" s="9"/>
      <c r="L37" s="9"/>
      <c r="M37" s="7">
        <f t="shared" si="15"/>
        <v>0</v>
      </c>
      <c r="N37" s="7">
        <f t="shared" si="16"/>
        <v>0</v>
      </c>
      <c r="O37" s="11">
        <f t="shared" si="2"/>
        <v>0</v>
      </c>
      <c r="P37" s="9"/>
      <c r="Q37" s="9">
        <v>15</v>
      </c>
      <c r="R37" s="7">
        <f t="shared" si="17"/>
        <v>0</v>
      </c>
      <c r="S37" s="7">
        <f t="shared" si="18"/>
        <v>1770</v>
      </c>
      <c r="T37" s="11">
        <f t="shared" ref="T37:T68" si="40">ROUND(R37+S37,-1)</f>
        <v>1770</v>
      </c>
      <c r="U37" s="9">
        <v>1.5</v>
      </c>
      <c r="V37" s="9"/>
      <c r="W37" s="7">
        <f t="shared" si="19"/>
        <v>90</v>
      </c>
      <c r="X37" s="7">
        <f t="shared" si="20"/>
        <v>0</v>
      </c>
      <c r="Y37" s="22">
        <f t="shared" ref="Y37:Y68" si="41">ROUND(W37+X37,-1)</f>
        <v>90</v>
      </c>
      <c r="Z37" s="26">
        <f t="shared" si="21"/>
        <v>1860</v>
      </c>
      <c r="AA37" s="9"/>
      <c r="AB37" s="9"/>
      <c r="AC37" s="7">
        <f t="shared" si="22"/>
        <v>0</v>
      </c>
      <c r="AD37" s="7">
        <f t="shared" si="23"/>
        <v>0</v>
      </c>
      <c r="AE37" s="11">
        <f t="shared" ref="AE37:AE68" si="42">ROUND(AC37+AD37,-1)</f>
        <v>0</v>
      </c>
      <c r="AF37" s="9"/>
      <c r="AG37" s="9"/>
      <c r="AH37" s="7">
        <f t="shared" si="24"/>
        <v>0</v>
      </c>
      <c r="AI37" s="7">
        <f t="shared" si="25"/>
        <v>0</v>
      </c>
      <c r="AJ37" s="22">
        <f t="shared" ref="AJ37:AJ68" si="43">ROUND(AH37+AI37,-1)</f>
        <v>0</v>
      </c>
      <c r="AK37" s="26">
        <f t="shared" si="26"/>
        <v>0</v>
      </c>
      <c r="AL37" s="9"/>
      <c r="AM37" s="9"/>
      <c r="AN37" s="7">
        <f t="shared" si="27"/>
        <v>0</v>
      </c>
      <c r="AO37" s="7">
        <f t="shared" si="28"/>
        <v>0</v>
      </c>
      <c r="AP37" s="11">
        <f t="shared" ref="AP37:AP68" si="44">ROUND(AN37+AO37,-1)</f>
        <v>0</v>
      </c>
      <c r="AQ37" s="9"/>
      <c r="AR37" s="9"/>
      <c r="AS37" s="7">
        <f t="shared" si="29"/>
        <v>0</v>
      </c>
      <c r="AT37" s="7">
        <f t="shared" si="30"/>
        <v>0</v>
      </c>
      <c r="AU37" s="11">
        <f t="shared" ref="AU37:AU68" si="45">ROUND(AS37+AT37,-1)</f>
        <v>0</v>
      </c>
      <c r="AV37" s="9"/>
      <c r="AW37" s="9"/>
      <c r="AX37" s="7">
        <f t="shared" si="31"/>
        <v>0</v>
      </c>
      <c r="AY37" s="7">
        <f t="shared" si="32"/>
        <v>0</v>
      </c>
      <c r="AZ37" s="11">
        <f t="shared" ref="AZ37:AZ68" si="46">ROUND(AX37+AY37,-1)</f>
        <v>0</v>
      </c>
      <c r="BA37" s="9"/>
      <c r="BB37" s="9"/>
      <c r="BC37" s="7">
        <f t="shared" si="33"/>
        <v>0</v>
      </c>
      <c r="BD37" s="7">
        <f t="shared" si="34"/>
        <v>0</v>
      </c>
      <c r="BE37" s="11">
        <f t="shared" ref="BE37:BE68" si="47">ROUND(BC37+BD37,-1)</f>
        <v>0</v>
      </c>
      <c r="BF37" s="9"/>
      <c r="BG37" s="9"/>
      <c r="BH37" s="7">
        <f t="shared" si="35"/>
        <v>0</v>
      </c>
      <c r="BI37" s="7">
        <f t="shared" si="36"/>
        <v>0</v>
      </c>
      <c r="BJ37" s="11">
        <f t="shared" ref="BJ37:BJ68" si="48">ROUND(BH37+BI37,-1)</f>
        <v>0</v>
      </c>
      <c r="BK37" s="9"/>
      <c r="BL37" s="9"/>
      <c r="BM37" s="7">
        <f t="shared" si="37"/>
        <v>0</v>
      </c>
      <c r="BN37" s="7">
        <f t="shared" si="38"/>
        <v>0</v>
      </c>
      <c r="BO37" s="11">
        <f t="shared" ref="BO37:BO68" si="49">ROUND(BM37+BN37,-1)</f>
        <v>0</v>
      </c>
    </row>
    <row r="38" spans="1:67" x14ac:dyDescent="0.25">
      <c r="A38" t="s">
        <v>44</v>
      </c>
      <c r="B38" s="1">
        <v>1520</v>
      </c>
      <c r="C38">
        <v>245</v>
      </c>
      <c r="D38" s="7">
        <f t="shared" si="39"/>
        <v>11770</v>
      </c>
      <c r="E38" s="16"/>
      <c r="F38" s="19"/>
      <c r="G38" s="9"/>
      <c r="H38" s="7">
        <f t="shared" si="13"/>
        <v>0</v>
      </c>
      <c r="I38" s="7">
        <f t="shared" si="14"/>
        <v>0</v>
      </c>
      <c r="J38" s="11">
        <f t="shared" si="1"/>
        <v>0</v>
      </c>
      <c r="K38" s="9"/>
      <c r="L38" s="9"/>
      <c r="M38" s="7">
        <f t="shared" si="15"/>
        <v>0</v>
      </c>
      <c r="N38" s="7">
        <f t="shared" si="16"/>
        <v>0</v>
      </c>
      <c r="O38" s="11">
        <f t="shared" si="2"/>
        <v>0</v>
      </c>
      <c r="P38" s="9">
        <v>7.5</v>
      </c>
      <c r="Q38" s="9">
        <v>48.5</v>
      </c>
      <c r="R38" s="7">
        <f t="shared" si="17"/>
        <v>510</v>
      </c>
      <c r="S38" s="7">
        <f t="shared" si="18"/>
        <v>6540</v>
      </c>
      <c r="T38" s="11">
        <f t="shared" si="40"/>
        <v>7050</v>
      </c>
      <c r="U38" s="9">
        <v>8</v>
      </c>
      <c r="V38" s="9">
        <v>31</v>
      </c>
      <c r="W38" s="7">
        <f t="shared" si="19"/>
        <v>540</v>
      </c>
      <c r="X38" s="7">
        <f t="shared" si="20"/>
        <v>4180</v>
      </c>
      <c r="Y38" s="22">
        <f t="shared" si="41"/>
        <v>4720</v>
      </c>
      <c r="Z38" s="26">
        <f t="shared" si="21"/>
        <v>11770</v>
      </c>
      <c r="AA38" s="9"/>
      <c r="AB38" s="9"/>
      <c r="AC38" s="7">
        <f t="shared" si="22"/>
        <v>0</v>
      </c>
      <c r="AD38" s="7">
        <f t="shared" si="23"/>
        <v>0</v>
      </c>
      <c r="AE38" s="11">
        <f t="shared" si="42"/>
        <v>0</v>
      </c>
      <c r="AF38" s="9"/>
      <c r="AG38" s="9"/>
      <c r="AH38" s="7">
        <f t="shared" si="24"/>
        <v>0</v>
      </c>
      <c r="AI38" s="7">
        <f t="shared" si="25"/>
        <v>0</v>
      </c>
      <c r="AJ38" s="22">
        <f t="shared" si="43"/>
        <v>0</v>
      </c>
      <c r="AK38" s="26">
        <f t="shared" si="26"/>
        <v>0</v>
      </c>
      <c r="AL38" s="9"/>
      <c r="AM38" s="9"/>
      <c r="AN38" s="7">
        <f t="shared" si="27"/>
        <v>0</v>
      </c>
      <c r="AO38" s="7">
        <f t="shared" si="28"/>
        <v>0</v>
      </c>
      <c r="AP38" s="11">
        <f t="shared" si="44"/>
        <v>0</v>
      </c>
      <c r="AQ38" s="9"/>
      <c r="AR38" s="9"/>
      <c r="AS38" s="7">
        <f t="shared" si="29"/>
        <v>0</v>
      </c>
      <c r="AT38" s="7">
        <f t="shared" si="30"/>
        <v>0</v>
      </c>
      <c r="AU38" s="11">
        <f t="shared" si="45"/>
        <v>0</v>
      </c>
      <c r="AV38" s="9"/>
      <c r="AW38" s="9"/>
      <c r="AX38" s="7">
        <f t="shared" si="31"/>
        <v>0</v>
      </c>
      <c r="AY38" s="7">
        <f t="shared" si="32"/>
        <v>0</v>
      </c>
      <c r="AZ38" s="11">
        <f t="shared" si="46"/>
        <v>0</v>
      </c>
      <c r="BA38" s="9"/>
      <c r="BB38" s="9"/>
      <c r="BC38" s="7">
        <f t="shared" si="33"/>
        <v>0</v>
      </c>
      <c r="BD38" s="7">
        <f t="shared" si="34"/>
        <v>0</v>
      </c>
      <c r="BE38" s="11">
        <f t="shared" si="47"/>
        <v>0</v>
      </c>
      <c r="BF38" s="9"/>
      <c r="BG38" s="9"/>
      <c r="BH38" s="7">
        <f t="shared" si="35"/>
        <v>0</v>
      </c>
      <c r="BI38" s="7">
        <f t="shared" si="36"/>
        <v>0</v>
      </c>
      <c r="BJ38" s="11">
        <f t="shared" si="48"/>
        <v>0</v>
      </c>
      <c r="BK38" s="9"/>
      <c r="BL38" s="9"/>
      <c r="BM38" s="7">
        <f t="shared" si="37"/>
        <v>0</v>
      </c>
      <c r="BN38" s="7">
        <f t="shared" si="38"/>
        <v>0</v>
      </c>
      <c r="BO38" s="11">
        <f t="shared" si="49"/>
        <v>0</v>
      </c>
    </row>
    <row r="39" spans="1:67" x14ac:dyDescent="0.25">
      <c r="A39" t="s">
        <v>45</v>
      </c>
      <c r="B39" s="1">
        <v>1240</v>
      </c>
      <c r="C39">
        <v>230</v>
      </c>
      <c r="D39" s="7">
        <f t="shared" si="39"/>
        <v>8000</v>
      </c>
      <c r="E39" s="16"/>
      <c r="F39" s="19"/>
      <c r="G39" s="9"/>
      <c r="H39" s="7">
        <f t="shared" si="13"/>
        <v>0</v>
      </c>
      <c r="I39" s="7">
        <f t="shared" si="14"/>
        <v>0</v>
      </c>
      <c r="J39" s="11">
        <f t="shared" si="1"/>
        <v>0</v>
      </c>
      <c r="K39" s="9"/>
      <c r="L39" s="9"/>
      <c r="M39" s="7">
        <f t="shared" si="15"/>
        <v>0</v>
      </c>
      <c r="N39" s="7">
        <f t="shared" si="16"/>
        <v>0</v>
      </c>
      <c r="O39" s="11">
        <f t="shared" si="2"/>
        <v>0</v>
      </c>
      <c r="P39" s="9">
        <v>23</v>
      </c>
      <c r="Q39" s="9">
        <v>15</v>
      </c>
      <c r="R39" s="7">
        <f t="shared" si="17"/>
        <v>1450</v>
      </c>
      <c r="S39" s="7">
        <f t="shared" si="18"/>
        <v>1900</v>
      </c>
      <c r="T39" s="11">
        <f t="shared" si="40"/>
        <v>3350</v>
      </c>
      <c r="U39" s="9">
        <v>26.5</v>
      </c>
      <c r="V39" s="9">
        <v>23.5</v>
      </c>
      <c r="W39" s="7">
        <f t="shared" si="19"/>
        <v>1680</v>
      </c>
      <c r="X39" s="7">
        <f t="shared" si="20"/>
        <v>2970</v>
      </c>
      <c r="Y39" s="22">
        <f t="shared" si="41"/>
        <v>4650</v>
      </c>
      <c r="Z39" s="26">
        <f t="shared" si="21"/>
        <v>8000</v>
      </c>
      <c r="AA39" s="9"/>
      <c r="AB39" s="9"/>
      <c r="AC39" s="7">
        <f t="shared" si="22"/>
        <v>0</v>
      </c>
      <c r="AD39" s="7">
        <f t="shared" si="23"/>
        <v>0</v>
      </c>
      <c r="AE39" s="11">
        <f t="shared" si="42"/>
        <v>0</v>
      </c>
      <c r="AF39" s="9"/>
      <c r="AG39" s="9"/>
      <c r="AH39" s="7">
        <f t="shared" si="24"/>
        <v>0</v>
      </c>
      <c r="AI39" s="7">
        <f t="shared" si="25"/>
        <v>0</v>
      </c>
      <c r="AJ39" s="22">
        <f t="shared" si="43"/>
        <v>0</v>
      </c>
      <c r="AK39" s="26">
        <f t="shared" si="26"/>
        <v>0</v>
      </c>
      <c r="AL39" s="9"/>
      <c r="AM39" s="9"/>
      <c r="AN39" s="7">
        <f t="shared" si="27"/>
        <v>0</v>
      </c>
      <c r="AO39" s="7">
        <f t="shared" si="28"/>
        <v>0</v>
      </c>
      <c r="AP39" s="11">
        <f t="shared" si="44"/>
        <v>0</v>
      </c>
      <c r="AQ39" s="9"/>
      <c r="AR39" s="9"/>
      <c r="AS39" s="7">
        <f t="shared" si="29"/>
        <v>0</v>
      </c>
      <c r="AT39" s="7">
        <f t="shared" si="30"/>
        <v>0</v>
      </c>
      <c r="AU39" s="11">
        <f t="shared" si="45"/>
        <v>0</v>
      </c>
      <c r="AV39" s="9"/>
      <c r="AW39" s="9"/>
      <c r="AX39" s="7">
        <f t="shared" si="31"/>
        <v>0</v>
      </c>
      <c r="AY39" s="7">
        <f t="shared" si="32"/>
        <v>0</v>
      </c>
      <c r="AZ39" s="11">
        <f t="shared" si="46"/>
        <v>0</v>
      </c>
      <c r="BA39" s="9"/>
      <c r="BB39" s="9"/>
      <c r="BC39" s="7">
        <f t="shared" si="33"/>
        <v>0</v>
      </c>
      <c r="BD39" s="7">
        <f t="shared" si="34"/>
        <v>0</v>
      </c>
      <c r="BE39" s="11">
        <f t="shared" si="47"/>
        <v>0</v>
      </c>
      <c r="BF39" s="9"/>
      <c r="BG39" s="9"/>
      <c r="BH39" s="7">
        <f t="shared" si="35"/>
        <v>0</v>
      </c>
      <c r="BI39" s="7">
        <f t="shared" si="36"/>
        <v>0</v>
      </c>
      <c r="BJ39" s="11">
        <f t="shared" si="48"/>
        <v>0</v>
      </c>
      <c r="BK39" s="9"/>
      <c r="BL39" s="9"/>
      <c r="BM39" s="7">
        <f t="shared" si="37"/>
        <v>0</v>
      </c>
      <c r="BN39" s="7">
        <f t="shared" si="38"/>
        <v>0</v>
      </c>
      <c r="BO39" s="11">
        <f t="shared" si="49"/>
        <v>0</v>
      </c>
    </row>
    <row r="40" spans="1:67" x14ac:dyDescent="0.25">
      <c r="A40" t="s">
        <v>46</v>
      </c>
      <c r="B40" s="1">
        <v>1255</v>
      </c>
      <c r="C40">
        <v>230</v>
      </c>
      <c r="D40" s="7">
        <f t="shared" si="39"/>
        <v>3730</v>
      </c>
      <c r="E40" s="16"/>
      <c r="F40" s="19"/>
      <c r="G40" s="9"/>
      <c r="H40" s="7">
        <f t="shared" si="13"/>
        <v>0</v>
      </c>
      <c r="I40" s="7">
        <f t="shared" si="14"/>
        <v>0</v>
      </c>
      <c r="J40" s="11">
        <f t="shared" si="1"/>
        <v>0</v>
      </c>
      <c r="K40" s="9"/>
      <c r="L40" s="9"/>
      <c r="M40" s="7">
        <f t="shared" si="15"/>
        <v>0</v>
      </c>
      <c r="N40" s="7">
        <f t="shared" si="16"/>
        <v>0</v>
      </c>
      <c r="O40" s="11">
        <f t="shared" si="2"/>
        <v>0</v>
      </c>
      <c r="P40" s="9">
        <v>8</v>
      </c>
      <c r="Q40" s="9">
        <v>11.5</v>
      </c>
      <c r="R40" s="7">
        <f t="shared" si="17"/>
        <v>510</v>
      </c>
      <c r="S40" s="7">
        <f t="shared" si="18"/>
        <v>1450</v>
      </c>
      <c r="T40" s="11">
        <f t="shared" si="40"/>
        <v>1960</v>
      </c>
      <c r="U40" s="9">
        <v>2</v>
      </c>
      <c r="V40" s="9">
        <v>13</v>
      </c>
      <c r="W40" s="7">
        <f t="shared" si="19"/>
        <v>130</v>
      </c>
      <c r="X40" s="7">
        <f t="shared" si="20"/>
        <v>1640</v>
      </c>
      <c r="Y40" s="22">
        <f t="shared" si="41"/>
        <v>1770</v>
      </c>
      <c r="Z40" s="26">
        <f t="shared" si="21"/>
        <v>3730</v>
      </c>
      <c r="AA40" s="9"/>
      <c r="AB40" s="9"/>
      <c r="AC40" s="7">
        <f t="shared" si="22"/>
        <v>0</v>
      </c>
      <c r="AD40" s="7">
        <f t="shared" si="23"/>
        <v>0</v>
      </c>
      <c r="AE40" s="11">
        <f t="shared" si="42"/>
        <v>0</v>
      </c>
      <c r="AF40" s="9"/>
      <c r="AG40" s="9"/>
      <c r="AH40" s="7">
        <f t="shared" si="24"/>
        <v>0</v>
      </c>
      <c r="AI40" s="7">
        <f t="shared" si="25"/>
        <v>0</v>
      </c>
      <c r="AJ40" s="22">
        <f t="shared" si="43"/>
        <v>0</v>
      </c>
      <c r="AK40" s="26">
        <f t="shared" si="26"/>
        <v>0</v>
      </c>
      <c r="AL40" s="9"/>
      <c r="AM40" s="9"/>
      <c r="AN40" s="7">
        <f t="shared" si="27"/>
        <v>0</v>
      </c>
      <c r="AO40" s="7">
        <f t="shared" si="28"/>
        <v>0</v>
      </c>
      <c r="AP40" s="11">
        <f t="shared" si="44"/>
        <v>0</v>
      </c>
      <c r="AQ40" s="9"/>
      <c r="AR40" s="9"/>
      <c r="AS40" s="7">
        <f t="shared" si="29"/>
        <v>0</v>
      </c>
      <c r="AT40" s="7">
        <f t="shared" si="30"/>
        <v>0</v>
      </c>
      <c r="AU40" s="11">
        <f t="shared" si="45"/>
        <v>0</v>
      </c>
      <c r="AV40" s="9"/>
      <c r="AW40" s="9"/>
      <c r="AX40" s="7">
        <f t="shared" si="31"/>
        <v>0</v>
      </c>
      <c r="AY40" s="7">
        <f t="shared" si="32"/>
        <v>0</v>
      </c>
      <c r="AZ40" s="11">
        <f t="shared" si="46"/>
        <v>0</v>
      </c>
      <c r="BA40" s="9"/>
      <c r="BB40" s="9"/>
      <c r="BC40" s="7">
        <f t="shared" si="33"/>
        <v>0</v>
      </c>
      <c r="BD40" s="7">
        <f t="shared" si="34"/>
        <v>0</v>
      </c>
      <c r="BE40" s="11">
        <f t="shared" si="47"/>
        <v>0</v>
      </c>
      <c r="BF40" s="9"/>
      <c r="BG40" s="9"/>
      <c r="BH40" s="7">
        <f t="shared" si="35"/>
        <v>0</v>
      </c>
      <c r="BI40" s="7">
        <f t="shared" si="36"/>
        <v>0</v>
      </c>
      <c r="BJ40" s="11">
        <f t="shared" si="48"/>
        <v>0</v>
      </c>
      <c r="BK40" s="9"/>
      <c r="BL40" s="9"/>
      <c r="BM40" s="7">
        <f t="shared" si="37"/>
        <v>0</v>
      </c>
      <c r="BN40" s="7">
        <f t="shared" si="38"/>
        <v>0</v>
      </c>
      <c r="BO40" s="11">
        <f t="shared" si="49"/>
        <v>0</v>
      </c>
    </row>
    <row r="41" spans="1:67" x14ac:dyDescent="0.25">
      <c r="A41" t="s">
        <v>47</v>
      </c>
      <c r="B41" s="1">
        <v>1445</v>
      </c>
      <c r="C41">
        <v>245</v>
      </c>
      <c r="D41" s="7">
        <f t="shared" si="39"/>
        <v>3500</v>
      </c>
      <c r="E41" s="16"/>
      <c r="F41" s="19"/>
      <c r="G41" s="9"/>
      <c r="H41" s="7">
        <f t="shared" si="13"/>
        <v>0</v>
      </c>
      <c r="I41" s="7">
        <f t="shared" si="14"/>
        <v>0</v>
      </c>
      <c r="J41" s="11">
        <f t="shared" si="1"/>
        <v>0</v>
      </c>
      <c r="K41" s="9"/>
      <c r="L41" s="9"/>
      <c r="M41" s="7">
        <f t="shared" si="15"/>
        <v>0</v>
      </c>
      <c r="N41" s="7">
        <f t="shared" si="16"/>
        <v>0</v>
      </c>
      <c r="O41" s="11">
        <f t="shared" si="2"/>
        <v>0</v>
      </c>
      <c r="P41" s="9">
        <v>10</v>
      </c>
      <c r="Q41" s="9"/>
      <c r="R41" s="7">
        <f t="shared" si="17"/>
        <v>670</v>
      </c>
      <c r="S41" s="7">
        <f t="shared" si="18"/>
        <v>0</v>
      </c>
      <c r="T41" s="11">
        <f t="shared" si="40"/>
        <v>670</v>
      </c>
      <c r="U41" s="9">
        <v>11</v>
      </c>
      <c r="V41" s="9">
        <v>15.5</v>
      </c>
      <c r="W41" s="7">
        <f t="shared" si="19"/>
        <v>740</v>
      </c>
      <c r="X41" s="7">
        <f t="shared" si="20"/>
        <v>2090</v>
      </c>
      <c r="Y41" s="22">
        <f t="shared" si="41"/>
        <v>2830</v>
      </c>
      <c r="Z41" s="26">
        <f t="shared" si="21"/>
        <v>3500</v>
      </c>
      <c r="AA41" s="9"/>
      <c r="AB41" s="9"/>
      <c r="AC41" s="7">
        <f t="shared" si="22"/>
        <v>0</v>
      </c>
      <c r="AD41" s="7">
        <f t="shared" si="23"/>
        <v>0</v>
      </c>
      <c r="AE41" s="11">
        <f t="shared" si="42"/>
        <v>0</v>
      </c>
      <c r="AF41" s="9"/>
      <c r="AG41" s="9"/>
      <c r="AH41" s="7">
        <f t="shared" si="24"/>
        <v>0</v>
      </c>
      <c r="AI41" s="7">
        <f t="shared" si="25"/>
        <v>0</v>
      </c>
      <c r="AJ41" s="22">
        <f t="shared" si="43"/>
        <v>0</v>
      </c>
      <c r="AK41" s="26">
        <f t="shared" si="26"/>
        <v>0</v>
      </c>
      <c r="AL41" s="9"/>
      <c r="AM41" s="9"/>
      <c r="AN41" s="7">
        <f t="shared" si="27"/>
        <v>0</v>
      </c>
      <c r="AO41" s="7">
        <f t="shared" si="28"/>
        <v>0</v>
      </c>
      <c r="AP41" s="11">
        <f t="shared" si="44"/>
        <v>0</v>
      </c>
      <c r="AQ41" s="9"/>
      <c r="AR41" s="9"/>
      <c r="AS41" s="7">
        <f t="shared" si="29"/>
        <v>0</v>
      </c>
      <c r="AT41" s="7">
        <f t="shared" si="30"/>
        <v>0</v>
      </c>
      <c r="AU41" s="11">
        <f t="shared" si="45"/>
        <v>0</v>
      </c>
      <c r="AV41" s="9"/>
      <c r="AW41" s="9"/>
      <c r="AX41" s="7">
        <f t="shared" si="31"/>
        <v>0</v>
      </c>
      <c r="AY41" s="7">
        <f t="shared" si="32"/>
        <v>0</v>
      </c>
      <c r="AZ41" s="11">
        <f t="shared" si="46"/>
        <v>0</v>
      </c>
      <c r="BA41" s="9"/>
      <c r="BB41" s="9"/>
      <c r="BC41" s="7">
        <f t="shared" si="33"/>
        <v>0</v>
      </c>
      <c r="BD41" s="7">
        <f t="shared" si="34"/>
        <v>0</v>
      </c>
      <c r="BE41" s="11">
        <f t="shared" si="47"/>
        <v>0</v>
      </c>
      <c r="BF41" s="9"/>
      <c r="BG41" s="9"/>
      <c r="BH41" s="7">
        <f t="shared" si="35"/>
        <v>0</v>
      </c>
      <c r="BI41" s="7">
        <f t="shared" si="36"/>
        <v>0</v>
      </c>
      <c r="BJ41" s="11">
        <f t="shared" si="48"/>
        <v>0</v>
      </c>
      <c r="BK41" s="9"/>
      <c r="BL41" s="9"/>
      <c r="BM41" s="7">
        <f t="shared" si="37"/>
        <v>0</v>
      </c>
      <c r="BN41" s="7">
        <f t="shared" si="38"/>
        <v>0</v>
      </c>
      <c r="BO41" s="11">
        <f t="shared" si="49"/>
        <v>0</v>
      </c>
    </row>
    <row r="42" spans="1:67" x14ac:dyDescent="0.25">
      <c r="A42" t="s">
        <v>48</v>
      </c>
      <c r="B42" s="1">
        <v>1371</v>
      </c>
      <c r="C42">
        <v>230</v>
      </c>
      <c r="D42" s="7">
        <f t="shared" si="39"/>
        <v>0</v>
      </c>
      <c r="E42" s="16"/>
      <c r="F42" s="19"/>
      <c r="G42" s="9"/>
      <c r="H42" s="7">
        <f t="shared" si="13"/>
        <v>0</v>
      </c>
      <c r="I42" s="7">
        <f t="shared" si="14"/>
        <v>0</v>
      </c>
      <c r="J42" s="11">
        <f t="shared" si="1"/>
        <v>0</v>
      </c>
      <c r="K42" s="9"/>
      <c r="L42" s="9"/>
      <c r="M42" s="7">
        <f t="shared" si="15"/>
        <v>0</v>
      </c>
      <c r="N42" s="7">
        <f t="shared" si="16"/>
        <v>0</v>
      </c>
      <c r="O42" s="11">
        <f t="shared" si="2"/>
        <v>0</v>
      </c>
      <c r="P42" s="9"/>
      <c r="Q42" s="9"/>
      <c r="R42" s="7">
        <f t="shared" si="17"/>
        <v>0</v>
      </c>
      <c r="S42" s="7">
        <f t="shared" si="18"/>
        <v>0</v>
      </c>
      <c r="T42" s="11">
        <f t="shared" si="40"/>
        <v>0</v>
      </c>
      <c r="U42" s="9"/>
      <c r="V42" s="9"/>
      <c r="W42" s="7">
        <f t="shared" si="19"/>
        <v>0</v>
      </c>
      <c r="X42" s="7">
        <f t="shared" si="20"/>
        <v>0</v>
      </c>
      <c r="Y42" s="22">
        <f t="shared" si="41"/>
        <v>0</v>
      </c>
      <c r="Z42" s="26">
        <f t="shared" si="21"/>
        <v>0</v>
      </c>
      <c r="AA42" s="9"/>
      <c r="AB42" s="9"/>
      <c r="AC42" s="7">
        <f t="shared" si="22"/>
        <v>0</v>
      </c>
      <c r="AD42" s="7">
        <f t="shared" si="23"/>
        <v>0</v>
      </c>
      <c r="AE42" s="11">
        <f t="shared" si="42"/>
        <v>0</v>
      </c>
      <c r="AF42" s="9"/>
      <c r="AG42" s="9"/>
      <c r="AH42" s="7">
        <f t="shared" si="24"/>
        <v>0</v>
      </c>
      <c r="AI42" s="7">
        <f t="shared" si="25"/>
        <v>0</v>
      </c>
      <c r="AJ42" s="22">
        <f t="shared" si="43"/>
        <v>0</v>
      </c>
      <c r="AK42" s="26">
        <f t="shared" si="26"/>
        <v>0</v>
      </c>
      <c r="AL42" s="9"/>
      <c r="AM42" s="9"/>
      <c r="AN42" s="7">
        <f t="shared" si="27"/>
        <v>0</v>
      </c>
      <c r="AO42" s="7">
        <f t="shared" si="28"/>
        <v>0</v>
      </c>
      <c r="AP42" s="11">
        <f t="shared" si="44"/>
        <v>0</v>
      </c>
      <c r="AQ42" s="9"/>
      <c r="AR42" s="9"/>
      <c r="AS42" s="7">
        <f t="shared" si="29"/>
        <v>0</v>
      </c>
      <c r="AT42" s="7">
        <f t="shared" si="30"/>
        <v>0</v>
      </c>
      <c r="AU42" s="11">
        <f t="shared" si="45"/>
        <v>0</v>
      </c>
      <c r="AV42" s="9"/>
      <c r="AW42" s="9"/>
      <c r="AX42" s="7">
        <f t="shared" si="31"/>
        <v>0</v>
      </c>
      <c r="AY42" s="7">
        <f t="shared" si="32"/>
        <v>0</v>
      </c>
      <c r="AZ42" s="11">
        <f t="shared" si="46"/>
        <v>0</v>
      </c>
      <c r="BA42" s="9"/>
      <c r="BB42" s="9"/>
      <c r="BC42" s="7">
        <f t="shared" si="33"/>
        <v>0</v>
      </c>
      <c r="BD42" s="7">
        <f t="shared" si="34"/>
        <v>0</v>
      </c>
      <c r="BE42" s="11">
        <f t="shared" si="47"/>
        <v>0</v>
      </c>
      <c r="BF42" s="9"/>
      <c r="BG42" s="9"/>
      <c r="BH42" s="7">
        <f t="shared" si="35"/>
        <v>0</v>
      </c>
      <c r="BI42" s="7">
        <f t="shared" si="36"/>
        <v>0</v>
      </c>
      <c r="BJ42" s="11">
        <f t="shared" si="48"/>
        <v>0</v>
      </c>
      <c r="BK42" s="9"/>
      <c r="BL42" s="9"/>
      <c r="BM42" s="7">
        <f t="shared" si="37"/>
        <v>0</v>
      </c>
      <c r="BN42" s="7">
        <f t="shared" si="38"/>
        <v>0</v>
      </c>
      <c r="BO42" s="11">
        <f t="shared" si="49"/>
        <v>0</v>
      </c>
    </row>
    <row r="43" spans="1:67" x14ac:dyDescent="0.25">
      <c r="A43" t="s">
        <v>49</v>
      </c>
      <c r="B43" s="1">
        <v>1362</v>
      </c>
      <c r="C43">
        <v>200</v>
      </c>
      <c r="D43" s="7">
        <f t="shared" si="39"/>
        <v>0</v>
      </c>
      <c r="E43" s="16"/>
      <c r="F43" s="19"/>
      <c r="G43" s="9"/>
      <c r="H43" s="7">
        <f t="shared" si="13"/>
        <v>0</v>
      </c>
      <c r="I43" s="7">
        <f t="shared" si="14"/>
        <v>0</v>
      </c>
      <c r="J43" s="11">
        <f t="shared" si="1"/>
        <v>0</v>
      </c>
      <c r="K43" s="9"/>
      <c r="L43" s="9"/>
      <c r="M43" s="7">
        <f t="shared" si="15"/>
        <v>0</v>
      </c>
      <c r="N43" s="7">
        <f t="shared" si="16"/>
        <v>0</v>
      </c>
      <c r="O43" s="11">
        <f t="shared" si="2"/>
        <v>0</v>
      </c>
      <c r="P43" s="9"/>
      <c r="Q43" s="9"/>
      <c r="R43" s="7">
        <f t="shared" si="17"/>
        <v>0</v>
      </c>
      <c r="S43" s="7">
        <f t="shared" si="18"/>
        <v>0</v>
      </c>
      <c r="T43" s="11">
        <f t="shared" si="40"/>
        <v>0</v>
      </c>
      <c r="U43" s="9"/>
      <c r="V43" s="9"/>
      <c r="W43" s="7">
        <f t="shared" si="19"/>
        <v>0</v>
      </c>
      <c r="X43" s="7">
        <f t="shared" si="20"/>
        <v>0</v>
      </c>
      <c r="Y43" s="22">
        <f t="shared" si="41"/>
        <v>0</v>
      </c>
      <c r="Z43" s="26">
        <f t="shared" si="21"/>
        <v>0</v>
      </c>
      <c r="AA43" s="9"/>
      <c r="AB43" s="9"/>
      <c r="AC43" s="7">
        <f t="shared" si="22"/>
        <v>0</v>
      </c>
      <c r="AD43" s="7">
        <f t="shared" si="23"/>
        <v>0</v>
      </c>
      <c r="AE43" s="11">
        <f t="shared" si="42"/>
        <v>0</v>
      </c>
      <c r="AF43" s="9"/>
      <c r="AG43" s="9"/>
      <c r="AH43" s="7">
        <f t="shared" si="24"/>
        <v>0</v>
      </c>
      <c r="AI43" s="7">
        <f t="shared" si="25"/>
        <v>0</v>
      </c>
      <c r="AJ43" s="22">
        <f t="shared" si="43"/>
        <v>0</v>
      </c>
      <c r="AK43" s="26">
        <f t="shared" si="26"/>
        <v>0</v>
      </c>
      <c r="AL43" s="9"/>
      <c r="AM43" s="9"/>
      <c r="AN43" s="7">
        <f t="shared" si="27"/>
        <v>0</v>
      </c>
      <c r="AO43" s="7">
        <f t="shared" si="28"/>
        <v>0</v>
      </c>
      <c r="AP43" s="11">
        <f t="shared" si="44"/>
        <v>0</v>
      </c>
      <c r="AQ43" s="9"/>
      <c r="AR43" s="9"/>
      <c r="AS43" s="7">
        <f t="shared" si="29"/>
        <v>0</v>
      </c>
      <c r="AT43" s="7">
        <f t="shared" si="30"/>
        <v>0</v>
      </c>
      <c r="AU43" s="11">
        <f t="shared" si="45"/>
        <v>0</v>
      </c>
      <c r="AV43" s="9"/>
      <c r="AW43" s="9"/>
      <c r="AX43" s="7">
        <f t="shared" si="31"/>
        <v>0</v>
      </c>
      <c r="AY43" s="7">
        <f t="shared" si="32"/>
        <v>0</v>
      </c>
      <c r="AZ43" s="11">
        <f t="shared" si="46"/>
        <v>0</v>
      </c>
      <c r="BA43" s="9"/>
      <c r="BB43" s="9"/>
      <c r="BC43" s="7">
        <f t="shared" si="33"/>
        <v>0</v>
      </c>
      <c r="BD43" s="7">
        <f t="shared" si="34"/>
        <v>0</v>
      </c>
      <c r="BE43" s="11">
        <f t="shared" si="47"/>
        <v>0</v>
      </c>
      <c r="BF43" s="9"/>
      <c r="BG43" s="9"/>
      <c r="BH43" s="7">
        <f t="shared" si="35"/>
        <v>0</v>
      </c>
      <c r="BI43" s="7">
        <f t="shared" si="36"/>
        <v>0</v>
      </c>
      <c r="BJ43" s="11">
        <f t="shared" si="48"/>
        <v>0</v>
      </c>
      <c r="BK43" s="9"/>
      <c r="BL43" s="9"/>
      <c r="BM43" s="7">
        <f t="shared" si="37"/>
        <v>0</v>
      </c>
      <c r="BN43" s="7">
        <f t="shared" si="38"/>
        <v>0</v>
      </c>
      <c r="BO43" s="11">
        <f t="shared" si="49"/>
        <v>0</v>
      </c>
    </row>
    <row r="44" spans="1:67" x14ac:dyDescent="0.25">
      <c r="A44" t="s">
        <v>50</v>
      </c>
      <c r="B44" s="1">
        <v>1376</v>
      </c>
      <c r="C44">
        <v>230</v>
      </c>
      <c r="D44" s="7">
        <f t="shared" si="39"/>
        <v>60</v>
      </c>
      <c r="E44" s="16"/>
      <c r="F44" s="19"/>
      <c r="G44" s="9"/>
      <c r="H44" s="7">
        <f t="shared" si="13"/>
        <v>0</v>
      </c>
      <c r="I44" s="7">
        <f t="shared" si="14"/>
        <v>0</v>
      </c>
      <c r="J44" s="11">
        <f t="shared" si="1"/>
        <v>0</v>
      </c>
      <c r="K44" s="9"/>
      <c r="L44" s="9"/>
      <c r="M44" s="7">
        <f t="shared" si="15"/>
        <v>0</v>
      </c>
      <c r="N44" s="7">
        <f t="shared" si="16"/>
        <v>0</v>
      </c>
      <c r="O44" s="11">
        <f t="shared" si="2"/>
        <v>0</v>
      </c>
      <c r="P44" s="9"/>
      <c r="Q44" s="9"/>
      <c r="R44" s="7">
        <f t="shared" si="17"/>
        <v>0</v>
      </c>
      <c r="S44" s="7">
        <f t="shared" si="18"/>
        <v>0</v>
      </c>
      <c r="T44" s="11">
        <f t="shared" si="40"/>
        <v>0</v>
      </c>
      <c r="U44" s="9">
        <v>1</v>
      </c>
      <c r="V44" s="9"/>
      <c r="W44" s="7">
        <f t="shared" si="19"/>
        <v>60</v>
      </c>
      <c r="X44" s="7">
        <f t="shared" si="20"/>
        <v>0</v>
      </c>
      <c r="Y44" s="22">
        <f t="shared" si="41"/>
        <v>60</v>
      </c>
      <c r="Z44" s="26">
        <f t="shared" si="21"/>
        <v>60</v>
      </c>
      <c r="AA44" s="9"/>
      <c r="AB44" s="9"/>
      <c r="AC44" s="7">
        <f t="shared" si="22"/>
        <v>0</v>
      </c>
      <c r="AD44" s="7">
        <f t="shared" si="23"/>
        <v>0</v>
      </c>
      <c r="AE44" s="11">
        <f t="shared" si="42"/>
        <v>0</v>
      </c>
      <c r="AF44" s="9"/>
      <c r="AG44" s="9"/>
      <c r="AH44" s="7">
        <f t="shared" si="24"/>
        <v>0</v>
      </c>
      <c r="AI44" s="7">
        <f t="shared" si="25"/>
        <v>0</v>
      </c>
      <c r="AJ44" s="22">
        <f t="shared" si="43"/>
        <v>0</v>
      </c>
      <c r="AK44" s="26">
        <f t="shared" si="26"/>
        <v>0</v>
      </c>
      <c r="AL44" s="9"/>
      <c r="AM44" s="9"/>
      <c r="AN44" s="7">
        <f t="shared" si="27"/>
        <v>0</v>
      </c>
      <c r="AO44" s="7">
        <f t="shared" si="28"/>
        <v>0</v>
      </c>
      <c r="AP44" s="11">
        <f t="shared" si="44"/>
        <v>0</v>
      </c>
      <c r="AQ44" s="9"/>
      <c r="AR44" s="9"/>
      <c r="AS44" s="7">
        <f t="shared" si="29"/>
        <v>0</v>
      </c>
      <c r="AT44" s="7">
        <f t="shared" si="30"/>
        <v>0</v>
      </c>
      <c r="AU44" s="11">
        <f t="shared" si="45"/>
        <v>0</v>
      </c>
      <c r="AV44" s="9"/>
      <c r="AW44" s="9"/>
      <c r="AX44" s="7">
        <f t="shared" si="31"/>
        <v>0</v>
      </c>
      <c r="AY44" s="7">
        <f t="shared" si="32"/>
        <v>0</v>
      </c>
      <c r="AZ44" s="11">
        <f t="shared" si="46"/>
        <v>0</v>
      </c>
      <c r="BA44" s="9"/>
      <c r="BB44" s="9"/>
      <c r="BC44" s="7">
        <f t="shared" si="33"/>
        <v>0</v>
      </c>
      <c r="BD44" s="7">
        <f t="shared" si="34"/>
        <v>0</v>
      </c>
      <c r="BE44" s="11">
        <f t="shared" si="47"/>
        <v>0</v>
      </c>
      <c r="BF44" s="9"/>
      <c r="BG44" s="9"/>
      <c r="BH44" s="7">
        <f t="shared" si="35"/>
        <v>0</v>
      </c>
      <c r="BI44" s="7">
        <f t="shared" si="36"/>
        <v>0</v>
      </c>
      <c r="BJ44" s="11">
        <f t="shared" si="48"/>
        <v>0</v>
      </c>
      <c r="BK44" s="9"/>
      <c r="BL44" s="9"/>
      <c r="BM44" s="7">
        <f t="shared" si="37"/>
        <v>0</v>
      </c>
      <c r="BN44" s="7">
        <f t="shared" si="38"/>
        <v>0</v>
      </c>
      <c r="BO44" s="11">
        <f t="shared" si="49"/>
        <v>0</v>
      </c>
    </row>
    <row r="45" spans="1:67" x14ac:dyDescent="0.25">
      <c r="A45" t="s">
        <v>51</v>
      </c>
      <c r="B45" s="1">
        <v>1359</v>
      </c>
      <c r="C45">
        <v>215</v>
      </c>
      <c r="D45" s="7">
        <f t="shared" si="39"/>
        <v>5970</v>
      </c>
      <c r="E45" s="16"/>
      <c r="F45" s="19"/>
      <c r="G45" s="9"/>
      <c r="H45" s="7">
        <f t="shared" si="13"/>
        <v>0</v>
      </c>
      <c r="I45" s="7">
        <f t="shared" si="14"/>
        <v>0</v>
      </c>
      <c r="J45" s="11">
        <f t="shared" si="1"/>
        <v>0</v>
      </c>
      <c r="K45" s="9"/>
      <c r="L45" s="9"/>
      <c r="M45" s="7">
        <f t="shared" si="15"/>
        <v>0</v>
      </c>
      <c r="N45" s="7">
        <f t="shared" si="16"/>
        <v>0</v>
      </c>
      <c r="O45" s="11">
        <f t="shared" si="2"/>
        <v>0</v>
      </c>
      <c r="P45" s="9">
        <v>19</v>
      </c>
      <c r="Q45" s="9">
        <v>16</v>
      </c>
      <c r="R45" s="7">
        <f t="shared" si="17"/>
        <v>1120</v>
      </c>
      <c r="S45" s="7">
        <f t="shared" si="18"/>
        <v>1890</v>
      </c>
      <c r="T45" s="11">
        <f t="shared" si="40"/>
        <v>3010</v>
      </c>
      <c r="U45" s="9">
        <v>33</v>
      </c>
      <c r="V45" s="9">
        <v>8.5</v>
      </c>
      <c r="W45" s="7">
        <f t="shared" si="19"/>
        <v>1950</v>
      </c>
      <c r="X45" s="7">
        <f t="shared" si="20"/>
        <v>1010</v>
      </c>
      <c r="Y45" s="22">
        <f t="shared" si="41"/>
        <v>2960</v>
      </c>
      <c r="Z45" s="26">
        <f t="shared" si="21"/>
        <v>5970</v>
      </c>
      <c r="AA45" s="9"/>
      <c r="AB45" s="9"/>
      <c r="AC45" s="7">
        <f t="shared" si="22"/>
        <v>0</v>
      </c>
      <c r="AD45" s="7">
        <f t="shared" si="23"/>
        <v>0</v>
      </c>
      <c r="AE45" s="11">
        <f t="shared" si="42"/>
        <v>0</v>
      </c>
      <c r="AF45" s="9"/>
      <c r="AG45" s="9"/>
      <c r="AH45" s="7">
        <f t="shared" si="24"/>
        <v>0</v>
      </c>
      <c r="AI45" s="7">
        <f t="shared" si="25"/>
        <v>0</v>
      </c>
      <c r="AJ45" s="22">
        <f t="shared" si="43"/>
        <v>0</v>
      </c>
      <c r="AK45" s="26">
        <f t="shared" si="26"/>
        <v>0</v>
      </c>
      <c r="AL45" s="9"/>
      <c r="AM45" s="9"/>
      <c r="AN45" s="7">
        <f t="shared" si="27"/>
        <v>0</v>
      </c>
      <c r="AO45" s="7">
        <f t="shared" si="28"/>
        <v>0</v>
      </c>
      <c r="AP45" s="11">
        <f t="shared" si="44"/>
        <v>0</v>
      </c>
      <c r="AQ45" s="9"/>
      <c r="AR45" s="9"/>
      <c r="AS45" s="7">
        <f t="shared" si="29"/>
        <v>0</v>
      </c>
      <c r="AT45" s="7">
        <f t="shared" si="30"/>
        <v>0</v>
      </c>
      <c r="AU45" s="11">
        <f t="shared" si="45"/>
        <v>0</v>
      </c>
      <c r="AV45" s="9"/>
      <c r="AW45" s="9"/>
      <c r="AX45" s="7">
        <f t="shared" si="31"/>
        <v>0</v>
      </c>
      <c r="AY45" s="7">
        <f t="shared" si="32"/>
        <v>0</v>
      </c>
      <c r="AZ45" s="11">
        <f t="shared" si="46"/>
        <v>0</v>
      </c>
      <c r="BA45" s="9"/>
      <c r="BB45" s="9"/>
      <c r="BC45" s="7">
        <f t="shared" si="33"/>
        <v>0</v>
      </c>
      <c r="BD45" s="7">
        <f t="shared" si="34"/>
        <v>0</v>
      </c>
      <c r="BE45" s="11">
        <f t="shared" si="47"/>
        <v>0</v>
      </c>
      <c r="BF45" s="9"/>
      <c r="BG45" s="9"/>
      <c r="BH45" s="7">
        <f t="shared" si="35"/>
        <v>0</v>
      </c>
      <c r="BI45" s="7">
        <f t="shared" si="36"/>
        <v>0</v>
      </c>
      <c r="BJ45" s="11">
        <f t="shared" si="48"/>
        <v>0</v>
      </c>
      <c r="BK45" s="9"/>
      <c r="BL45" s="9"/>
      <c r="BM45" s="7">
        <f t="shared" si="37"/>
        <v>0</v>
      </c>
      <c r="BN45" s="7">
        <f t="shared" si="38"/>
        <v>0</v>
      </c>
      <c r="BO45" s="11">
        <f t="shared" si="49"/>
        <v>0</v>
      </c>
    </row>
    <row r="46" spans="1:67" x14ac:dyDescent="0.25">
      <c r="A46" t="s">
        <v>52</v>
      </c>
      <c r="B46" s="1">
        <v>1383</v>
      </c>
      <c r="C46">
        <v>215</v>
      </c>
      <c r="D46" s="7">
        <f t="shared" si="39"/>
        <v>680</v>
      </c>
      <c r="E46" s="16"/>
      <c r="F46" s="19"/>
      <c r="G46" s="9"/>
      <c r="H46" s="7">
        <f t="shared" si="13"/>
        <v>0</v>
      </c>
      <c r="I46" s="7">
        <f t="shared" si="14"/>
        <v>0</v>
      </c>
      <c r="J46" s="11">
        <f t="shared" si="1"/>
        <v>0</v>
      </c>
      <c r="K46" s="9"/>
      <c r="L46" s="9"/>
      <c r="M46" s="7">
        <f t="shared" si="15"/>
        <v>0</v>
      </c>
      <c r="N46" s="7">
        <f t="shared" si="16"/>
        <v>0</v>
      </c>
      <c r="O46" s="11">
        <f t="shared" si="2"/>
        <v>0</v>
      </c>
      <c r="P46" s="9">
        <v>11.5</v>
      </c>
      <c r="Q46" s="9"/>
      <c r="R46" s="7">
        <f t="shared" si="17"/>
        <v>680</v>
      </c>
      <c r="S46" s="7">
        <f t="shared" si="18"/>
        <v>0</v>
      </c>
      <c r="T46" s="11">
        <f t="shared" si="40"/>
        <v>680</v>
      </c>
      <c r="U46" s="9"/>
      <c r="V46" s="9"/>
      <c r="W46" s="7">
        <f t="shared" si="19"/>
        <v>0</v>
      </c>
      <c r="X46" s="7">
        <f t="shared" si="20"/>
        <v>0</v>
      </c>
      <c r="Y46" s="22">
        <f t="shared" si="41"/>
        <v>0</v>
      </c>
      <c r="Z46" s="26">
        <f t="shared" si="21"/>
        <v>680</v>
      </c>
      <c r="AA46" s="9"/>
      <c r="AB46" s="9"/>
      <c r="AC46" s="7">
        <f t="shared" si="22"/>
        <v>0</v>
      </c>
      <c r="AD46" s="7">
        <f t="shared" si="23"/>
        <v>0</v>
      </c>
      <c r="AE46" s="11">
        <f t="shared" si="42"/>
        <v>0</v>
      </c>
      <c r="AF46" s="9"/>
      <c r="AG46" s="9"/>
      <c r="AH46" s="7">
        <f t="shared" si="24"/>
        <v>0</v>
      </c>
      <c r="AI46" s="7">
        <f t="shared" si="25"/>
        <v>0</v>
      </c>
      <c r="AJ46" s="22">
        <f t="shared" si="43"/>
        <v>0</v>
      </c>
      <c r="AK46" s="26">
        <f t="shared" si="26"/>
        <v>0</v>
      </c>
      <c r="AL46" s="9"/>
      <c r="AM46" s="9"/>
      <c r="AN46" s="7">
        <f t="shared" si="27"/>
        <v>0</v>
      </c>
      <c r="AO46" s="7">
        <f t="shared" si="28"/>
        <v>0</v>
      </c>
      <c r="AP46" s="11">
        <f t="shared" si="44"/>
        <v>0</v>
      </c>
      <c r="AQ46" s="9"/>
      <c r="AR46" s="9"/>
      <c r="AS46" s="7">
        <f t="shared" si="29"/>
        <v>0</v>
      </c>
      <c r="AT46" s="7">
        <f t="shared" si="30"/>
        <v>0</v>
      </c>
      <c r="AU46" s="11">
        <f t="shared" si="45"/>
        <v>0</v>
      </c>
      <c r="AV46" s="9"/>
      <c r="AW46" s="9"/>
      <c r="AX46" s="7">
        <f t="shared" si="31"/>
        <v>0</v>
      </c>
      <c r="AY46" s="7">
        <f t="shared" si="32"/>
        <v>0</v>
      </c>
      <c r="AZ46" s="11">
        <f t="shared" si="46"/>
        <v>0</v>
      </c>
      <c r="BA46" s="9"/>
      <c r="BB46" s="9"/>
      <c r="BC46" s="7">
        <f t="shared" si="33"/>
        <v>0</v>
      </c>
      <c r="BD46" s="7">
        <f t="shared" si="34"/>
        <v>0</v>
      </c>
      <c r="BE46" s="11">
        <f t="shared" si="47"/>
        <v>0</v>
      </c>
      <c r="BF46" s="9"/>
      <c r="BG46" s="9"/>
      <c r="BH46" s="7">
        <f t="shared" si="35"/>
        <v>0</v>
      </c>
      <c r="BI46" s="7">
        <f t="shared" si="36"/>
        <v>0</v>
      </c>
      <c r="BJ46" s="11">
        <f t="shared" si="48"/>
        <v>0</v>
      </c>
      <c r="BK46" s="9"/>
      <c r="BL46" s="9"/>
      <c r="BM46" s="7">
        <f t="shared" si="37"/>
        <v>0</v>
      </c>
      <c r="BN46" s="7">
        <f t="shared" si="38"/>
        <v>0</v>
      </c>
      <c r="BO46" s="11">
        <f t="shared" si="49"/>
        <v>0</v>
      </c>
    </row>
    <row r="47" spans="1:67" x14ac:dyDescent="0.25">
      <c r="A47" t="s">
        <v>53</v>
      </c>
      <c r="B47" s="1">
        <v>1621</v>
      </c>
      <c r="C47">
        <v>215</v>
      </c>
      <c r="D47" s="7">
        <f t="shared" si="39"/>
        <v>2550</v>
      </c>
      <c r="E47" s="16"/>
      <c r="F47" s="19"/>
      <c r="G47" s="9"/>
      <c r="H47" s="7">
        <f t="shared" si="13"/>
        <v>0</v>
      </c>
      <c r="I47" s="7">
        <f t="shared" si="14"/>
        <v>0</v>
      </c>
      <c r="J47" s="11">
        <f t="shared" si="1"/>
        <v>0</v>
      </c>
      <c r="K47" s="9"/>
      <c r="L47" s="9"/>
      <c r="M47" s="7">
        <f t="shared" si="15"/>
        <v>0</v>
      </c>
      <c r="N47" s="7">
        <f t="shared" si="16"/>
        <v>0</v>
      </c>
      <c r="O47" s="11">
        <f t="shared" si="2"/>
        <v>0</v>
      </c>
      <c r="P47" s="9">
        <v>3</v>
      </c>
      <c r="Q47" s="9">
        <v>13</v>
      </c>
      <c r="R47" s="7">
        <f t="shared" si="17"/>
        <v>180</v>
      </c>
      <c r="S47" s="7">
        <f t="shared" si="18"/>
        <v>1540</v>
      </c>
      <c r="T47" s="11">
        <f t="shared" si="40"/>
        <v>1720</v>
      </c>
      <c r="U47" s="9">
        <v>1</v>
      </c>
      <c r="V47" s="9">
        <v>6.5</v>
      </c>
      <c r="W47" s="7">
        <f t="shared" si="19"/>
        <v>60</v>
      </c>
      <c r="X47" s="7">
        <f t="shared" si="20"/>
        <v>770</v>
      </c>
      <c r="Y47" s="22">
        <f t="shared" si="41"/>
        <v>830</v>
      </c>
      <c r="Z47" s="26">
        <f t="shared" si="21"/>
        <v>2550</v>
      </c>
      <c r="AA47" s="9"/>
      <c r="AB47" s="9"/>
      <c r="AC47" s="7">
        <f t="shared" si="22"/>
        <v>0</v>
      </c>
      <c r="AD47" s="7">
        <f t="shared" si="23"/>
        <v>0</v>
      </c>
      <c r="AE47" s="11">
        <f t="shared" si="42"/>
        <v>0</v>
      </c>
      <c r="AF47" s="9"/>
      <c r="AG47" s="9"/>
      <c r="AH47" s="7">
        <f t="shared" si="24"/>
        <v>0</v>
      </c>
      <c r="AI47" s="7">
        <f t="shared" si="25"/>
        <v>0</v>
      </c>
      <c r="AJ47" s="22">
        <f t="shared" si="43"/>
        <v>0</v>
      </c>
      <c r="AK47" s="26">
        <f t="shared" si="26"/>
        <v>0</v>
      </c>
      <c r="AL47" s="9"/>
      <c r="AM47" s="9"/>
      <c r="AN47" s="7">
        <f t="shared" si="27"/>
        <v>0</v>
      </c>
      <c r="AO47" s="7">
        <f t="shared" si="28"/>
        <v>0</v>
      </c>
      <c r="AP47" s="11">
        <f t="shared" si="44"/>
        <v>0</v>
      </c>
      <c r="AQ47" s="9"/>
      <c r="AR47" s="9"/>
      <c r="AS47" s="7">
        <f t="shared" si="29"/>
        <v>0</v>
      </c>
      <c r="AT47" s="7">
        <f t="shared" si="30"/>
        <v>0</v>
      </c>
      <c r="AU47" s="11">
        <f t="shared" si="45"/>
        <v>0</v>
      </c>
      <c r="AV47" s="9"/>
      <c r="AW47" s="9"/>
      <c r="AX47" s="7">
        <f t="shared" si="31"/>
        <v>0</v>
      </c>
      <c r="AY47" s="7">
        <f t="shared" si="32"/>
        <v>0</v>
      </c>
      <c r="AZ47" s="11">
        <f t="shared" si="46"/>
        <v>0</v>
      </c>
      <c r="BA47" s="9"/>
      <c r="BB47" s="9"/>
      <c r="BC47" s="7">
        <f t="shared" si="33"/>
        <v>0</v>
      </c>
      <c r="BD47" s="7">
        <f t="shared" si="34"/>
        <v>0</v>
      </c>
      <c r="BE47" s="11">
        <f t="shared" si="47"/>
        <v>0</v>
      </c>
      <c r="BF47" s="9"/>
      <c r="BG47" s="9"/>
      <c r="BH47" s="7">
        <f t="shared" si="35"/>
        <v>0</v>
      </c>
      <c r="BI47" s="7">
        <f t="shared" si="36"/>
        <v>0</v>
      </c>
      <c r="BJ47" s="11">
        <f t="shared" si="48"/>
        <v>0</v>
      </c>
      <c r="BK47" s="9"/>
      <c r="BL47" s="9"/>
      <c r="BM47" s="7">
        <f t="shared" si="37"/>
        <v>0</v>
      </c>
      <c r="BN47" s="7">
        <f t="shared" si="38"/>
        <v>0</v>
      </c>
      <c r="BO47" s="11">
        <f t="shared" si="49"/>
        <v>0</v>
      </c>
    </row>
    <row r="48" spans="1:67" x14ac:dyDescent="0.25">
      <c r="A48" t="s">
        <v>54</v>
      </c>
      <c r="B48" s="1">
        <v>1365</v>
      </c>
      <c r="C48">
        <v>230</v>
      </c>
      <c r="D48" s="7">
        <f t="shared" si="39"/>
        <v>0</v>
      </c>
      <c r="E48" s="16"/>
      <c r="F48" s="19"/>
      <c r="G48" s="9"/>
      <c r="H48" s="7">
        <f t="shared" si="13"/>
        <v>0</v>
      </c>
      <c r="I48" s="7">
        <f t="shared" si="14"/>
        <v>0</v>
      </c>
      <c r="J48" s="11">
        <f t="shared" si="1"/>
        <v>0</v>
      </c>
      <c r="K48" s="9"/>
      <c r="L48" s="9"/>
      <c r="M48" s="7">
        <f t="shared" si="15"/>
        <v>0</v>
      </c>
      <c r="N48" s="7">
        <f t="shared" si="16"/>
        <v>0</v>
      </c>
      <c r="O48" s="11">
        <f t="shared" si="2"/>
        <v>0</v>
      </c>
      <c r="P48" s="9"/>
      <c r="Q48" s="9"/>
      <c r="R48" s="7">
        <f t="shared" si="17"/>
        <v>0</v>
      </c>
      <c r="S48" s="7">
        <f t="shared" si="18"/>
        <v>0</v>
      </c>
      <c r="T48" s="11">
        <f t="shared" si="40"/>
        <v>0</v>
      </c>
      <c r="U48" s="9"/>
      <c r="V48" s="9"/>
      <c r="W48" s="7">
        <f t="shared" si="19"/>
        <v>0</v>
      </c>
      <c r="X48" s="7">
        <f t="shared" si="20"/>
        <v>0</v>
      </c>
      <c r="Y48" s="22">
        <f t="shared" si="41"/>
        <v>0</v>
      </c>
      <c r="Z48" s="26">
        <f t="shared" si="21"/>
        <v>0</v>
      </c>
      <c r="AA48" s="9"/>
      <c r="AB48" s="9"/>
      <c r="AC48" s="7">
        <f t="shared" si="22"/>
        <v>0</v>
      </c>
      <c r="AD48" s="7">
        <f t="shared" si="23"/>
        <v>0</v>
      </c>
      <c r="AE48" s="11">
        <f t="shared" si="42"/>
        <v>0</v>
      </c>
      <c r="AF48" s="9"/>
      <c r="AG48" s="9"/>
      <c r="AH48" s="7">
        <f t="shared" si="24"/>
        <v>0</v>
      </c>
      <c r="AI48" s="7">
        <f t="shared" si="25"/>
        <v>0</v>
      </c>
      <c r="AJ48" s="22">
        <f t="shared" si="43"/>
        <v>0</v>
      </c>
      <c r="AK48" s="26">
        <f t="shared" si="26"/>
        <v>0</v>
      </c>
      <c r="AL48" s="9"/>
      <c r="AM48" s="9"/>
      <c r="AN48" s="7">
        <f t="shared" si="27"/>
        <v>0</v>
      </c>
      <c r="AO48" s="7">
        <f t="shared" si="28"/>
        <v>0</v>
      </c>
      <c r="AP48" s="11">
        <f t="shared" si="44"/>
        <v>0</v>
      </c>
      <c r="AQ48" s="9"/>
      <c r="AR48" s="9"/>
      <c r="AS48" s="7">
        <f t="shared" si="29"/>
        <v>0</v>
      </c>
      <c r="AT48" s="7">
        <f t="shared" si="30"/>
        <v>0</v>
      </c>
      <c r="AU48" s="11">
        <f t="shared" si="45"/>
        <v>0</v>
      </c>
      <c r="AV48" s="9"/>
      <c r="AW48" s="9"/>
      <c r="AX48" s="7">
        <f t="shared" si="31"/>
        <v>0</v>
      </c>
      <c r="AY48" s="7">
        <f t="shared" si="32"/>
        <v>0</v>
      </c>
      <c r="AZ48" s="11">
        <f t="shared" si="46"/>
        <v>0</v>
      </c>
      <c r="BA48" s="9"/>
      <c r="BB48" s="9"/>
      <c r="BC48" s="7">
        <f t="shared" si="33"/>
        <v>0</v>
      </c>
      <c r="BD48" s="7">
        <f t="shared" si="34"/>
        <v>0</v>
      </c>
      <c r="BE48" s="11">
        <f t="shared" si="47"/>
        <v>0</v>
      </c>
      <c r="BF48" s="9"/>
      <c r="BG48" s="9"/>
      <c r="BH48" s="7">
        <f t="shared" si="35"/>
        <v>0</v>
      </c>
      <c r="BI48" s="7">
        <f t="shared" si="36"/>
        <v>0</v>
      </c>
      <c r="BJ48" s="11">
        <f t="shared" si="48"/>
        <v>0</v>
      </c>
      <c r="BK48" s="9"/>
      <c r="BL48" s="9"/>
      <c r="BM48" s="7">
        <f t="shared" si="37"/>
        <v>0</v>
      </c>
      <c r="BN48" s="7">
        <f t="shared" si="38"/>
        <v>0</v>
      </c>
      <c r="BO48" s="11">
        <f t="shared" si="49"/>
        <v>0</v>
      </c>
    </row>
    <row r="49" spans="1:67" x14ac:dyDescent="0.25">
      <c r="A49" t="s">
        <v>55</v>
      </c>
      <c r="B49" s="1">
        <v>1557</v>
      </c>
      <c r="C49">
        <v>215</v>
      </c>
      <c r="D49" s="7">
        <f t="shared" si="39"/>
        <v>350</v>
      </c>
      <c r="E49" s="16"/>
      <c r="F49" s="19"/>
      <c r="G49" s="9"/>
      <c r="H49" s="7">
        <f t="shared" si="13"/>
        <v>0</v>
      </c>
      <c r="I49" s="7">
        <f t="shared" si="14"/>
        <v>0</v>
      </c>
      <c r="J49" s="11">
        <f t="shared" si="1"/>
        <v>0</v>
      </c>
      <c r="K49" s="9"/>
      <c r="L49" s="9"/>
      <c r="M49" s="7">
        <f t="shared" si="15"/>
        <v>0</v>
      </c>
      <c r="N49" s="7">
        <f t="shared" si="16"/>
        <v>0</v>
      </c>
      <c r="O49" s="11">
        <f t="shared" si="2"/>
        <v>0</v>
      </c>
      <c r="P49" s="9"/>
      <c r="Q49" s="9"/>
      <c r="R49" s="7">
        <f t="shared" si="17"/>
        <v>0</v>
      </c>
      <c r="S49" s="7">
        <f t="shared" si="18"/>
        <v>0</v>
      </c>
      <c r="T49" s="11">
        <f t="shared" si="40"/>
        <v>0</v>
      </c>
      <c r="U49" s="9">
        <v>6</v>
      </c>
      <c r="V49" s="9"/>
      <c r="W49" s="7">
        <f t="shared" si="19"/>
        <v>350</v>
      </c>
      <c r="X49" s="7">
        <f t="shared" si="20"/>
        <v>0</v>
      </c>
      <c r="Y49" s="22">
        <f t="shared" si="41"/>
        <v>350</v>
      </c>
      <c r="Z49" s="26">
        <f t="shared" si="21"/>
        <v>350</v>
      </c>
      <c r="AA49" s="9"/>
      <c r="AB49" s="9"/>
      <c r="AC49" s="7">
        <f t="shared" si="22"/>
        <v>0</v>
      </c>
      <c r="AD49" s="7">
        <f t="shared" si="23"/>
        <v>0</v>
      </c>
      <c r="AE49" s="11">
        <f t="shared" si="42"/>
        <v>0</v>
      </c>
      <c r="AF49" s="9"/>
      <c r="AG49" s="9"/>
      <c r="AH49" s="7">
        <f t="shared" si="24"/>
        <v>0</v>
      </c>
      <c r="AI49" s="7">
        <f t="shared" si="25"/>
        <v>0</v>
      </c>
      <c r="AJ49" s="22">
        <f t="shared" si="43"/>
        <v>0</v>
      </c>
      <c r="AK49" s="26">
        <f t="shared" si="26"/>
        <v>0</v>
      </c>
      <c r="AL49" s="9"/>
      <c r="AM49" s="9"/>
      <c r="AN49" s="7">
        <f t="shared" si="27"/>
        <v>0</v>
      </c>
      <c r="AO49" s="7">
        <f t="shared" si="28"/>
        <v>0</v>
      </c>
      <c r="AP49" s="11">
        <f t="shared" si="44"/>
        <v>0</v>
      </c>
      <c r="AQ49" s="9"/>
      <c r="AR49" s="9"/>
      <c r="AS49" s="7">
        <f t="shared" si="29"/>
        <v>0</v>
      </c>
      <c r="AT49" s="7">
        <f t="shared" si="30"/>
        <v>0</v>
      </c>
      <c r="AU49" s="11">
        <f t="shared" si="45"/>
        <v>0</v>
      </c>
      <c r="AV49" s="9"/>
      <c r="AW49" s="9"/>
      <c r="AX49" s="7">
        <f t="shared" si="31"/>
        <v>0</v>
      </c>
      <c r="AY49" s="7">
        <f t="shared" si="32"/>
        <v>0</v>
      </c>
      <c r="AZ49" s="11">
        <f t="shared" si="46"/>
        <v>0</v>
      </c>
      <c r="BA49" s="9"/>
      <c r="BB49" s="9"/>
      <c r="BC49" s="7">
        <f t="shared" si="33"/>
        <v>0</v>
      </c>
      <c r="BD49" s="7">
        <f t="shared" si="34"/>
        <v>0</v>
      </c>
      <c r="BE49" s="11">
        <f t="shared" si="47"/>
        <v>0</v>
      </c>
      <c r="BF49" s="9"/>
      <c r="BG49" s="9"/>
      <c r="BH49" s="7">
        <f t="shared" si="35"/>
        <v>0</v>
      </c>
      <c r="BI49" s="7">
        <f t="shared" si="36"/>
        <v>0</v>
      </c>
      <c r="BJ49" s="11">
        <f t="shared" si="48"/>
        <v>0</v>
      </c>
      <c r="BK49" s="9"/>
      <c r="BL49" s="9"/>
      <c r="BM49" s="7">
        <f t="shared" si="37"/>
        <v>0</v>
      </c>
      <c r="BN49" s="7">
        <f t="shared" si="38"/>
        <v>0</v>
      </c>
      <c r="BO49" s="11">
        <f t="shared" si="49"/>
        <v>0</v>
      </c>
    </row>
    <row r="50" spans="1:67" x14ac:dyDescent="0.25">
      <c r="A50" t="s">
        <v>56</v>
      </c>
      <c r="B50" s="1">
        <v>1584</v>
      </c>
      <c r="C50">
        <v>230</v>
      </c>
      <c r="D50" s="7">
        <f t="shared" si="39"/>
        <v>0</v>
      </c>
      <c r="E50" s="16"/>
      <c r="F50" s="19"/>
      <c r="G50" s="9"/>
      <c r="H50" s="7">
        <f t="shared" si="13"/>
        <v>0</v>
      </c>
      <c r="I50" s="7">
        <f t="shared" si="14"/>
        <v>0</v>
      </c>
      <c r="J50" s="11">
        <f t="shared" si="1"/>
        <v>0</v>
      </c>
      <c r="K50" s="9"/>
      <c r="L50" s="9"/>
      <c r="M50" s="7">
        <f t="shared" si="15"/>
        <v>0</v>
      </c>
      <c r="N50" s="7">
        <f t="shared" si="16"/>
        <v>0</v>
      </c>
      <c r="O50" s="11">
        <f t="shared" si="2"/>
        <v>0</v>
      </c>
      <c r="P50" s="9"/>
      <c r="Q50" s="9"/>
      <c r="R50" s="7">
        <f t="shared" si="17"/>
        <v>0</v>
      </c>
      <c r="S50" s="7">
        <f t="shared" si="18"/>
        <v>0</v>
      </c>
      <c r="T50" s="11">
        <f t="shared" si="40"/>
        <v>0</v>
      </c>
      <c r="U50" s="9"/>
      <c r="V50" s="9"/>
      <c r="W50" s="7">
        <f t="shared" si="19"/>
        <v>0</v>
      </c>
      <c r="X50" s="7">
        <f t="shared" si="20"/>
        <v>0</v>
      </c>
      <c r="Y50" s="22">
        <f t="shared" si="41"/>
        <v>0</v>
      </c>
      <c r="Z50" s="26">
        <f t="shared" si="21"/>
        <v>0</v>
      </c>
      <c r="AA50" s="9"/>
      <c r="AB50" s="9"/>
      <c r="AC50" s="7">
        <f t="shared" si="22"/>
        <v>0</v>
      </c>
      <c r="AD50" s="7">
        <f t="shared" si="23"/>
        <v>0</v>
      </c>
      <c r="AE50" s="11">
        <f t="shared" si="42"/>
        <v>0</v>
      </c>
      <c r="AF50" s="9"/>
      <c r="AG50" s="9"/>
      <c r="AH50" s="7">
        <f t="shared" si="24"/>
        <v>0</v>
      </c>
      <c r="AI50" s="7">
        <f t="shared" si="25"/>
        <v>0</v>
      </c>
      <c r="AJ50" s="22">
        <f t="shared" si="43"/>
        <v>0</v>
      </c>
      <c r="AK50" s="26">
        <f t="shared" si="26"/>
        <v>0</v>
      </c>
      <c r="AL50" s="9"/>
      <c r="AM50" s="9"/>
      <c r="AN50" s="7">
        <f t="shared" si="27"/>
        <v>0</v>
      </c>
      <c r="AO50" s="7">
        <f t="shared" si="28"/>
        <v>0</v>
      </c>
      <c r="AP50" s="11">
        <f t="shared" si="44"/>
        <v>0</v>
      </c>
      <c r="AQ50" s="9"/>
      <c r="AR50" s="9"/>
      <c r="AS50" s="7">
        <f t="shared" si="29"/>
        <v>0</v>
      </c>
      <c r="AT50" s="7">
        <f t="shared" si="30"/>
        <v>0</v>
      </c>
      <c r="AU50" s="11">
        <f t="shared" si="45"/>
        <v>0</v>
      </c>
      <c r="AV50" s="9"/>
      <c r="AW50" s="9"/>
      <c r="AX50" s="7">
        <f t="shared" si="31"/>
        <v>0</v>
      </c>
      <c r="AY50" s="7">
        <f t="shared" si="32"/>
        <v>0</v>
      </c>
      <c r="AZ50" s="11">
        <f t="shared" si="46"/>
        <v>0</v>
      </c>
      <c r="BA50" s="9"/>
      <c r="BB50" s="9"/>
      <c r="BC50" s="7">
        <f t="shared" si="33"/>
        <v>0</v>
      </c>
      <c r="BD50" s="7">
        <f t="shared" si="34"/>
        <v>0</v>
      </c>
      <c r="BE50" s="11">
        <f t="shared" si="47"/>
        <v>0</v>
      </c>
      <c r="BF50" s="9"/>
      <c r="BG50" s="9"/>
      <c r="BH50" s="7">
        <f t="shared" si="35"/>
        <v>0</v>
      </c>
      <c r="BI50" s="7">
        <f t="shared" si="36"/>
        <v>0</v>
      </c>
      <c r="BJ50" s="11">
        <f t="shared" si="48"/>
        <v>0</v>
      </c>
      <c r="BK50" s="9"/>
      <c r="BL50" s="9"/>
      <c r="BM50" s="7">
        <f t="shared" si="37"/>
        <v>0</v>
      </c>
      <c r="BN50" s="7">
        <f t="shared" si="38"/>
        <v>0</v>
      </c>
      <c r="BO50" s="11">
        <f t="shared" si="49"/>
        <v>0</v>
      </c>
    </row>
    <row r="51" spans="1:67" x14ac:dyDescent="0.25">
      <c r="A51" t="s">
        <v>57</v>
      </c>
      <c r="B51" s="1">
        <v>1717</v>
      </c>
      <c r="C51">
        <v>215</v>
      </c>
      <c r="D51" s="7">
        <f t="shared" si="39"/>
        <v>8300</v>
      </c>
      <c r="E51" s="16"/>
      <c r="F51" s="19"/>
      <c r="G51" s="9"/>
      <c r="H51" s="7">
        <f t="shared" si="13"/>
        <v>0</v>
      </c>
      <c r="I51" s="7">
        <f t="shared" si="14"/>
        <v>0</v>
      </c>
      <c r="J51" s="11">
        <f t="shared" si="1"/>
        <v>0</v>
      </c>
      <c r="K51" s="9"/>
      <c r="L51" s="9"/>
      <c r="M51" s="7">
        <f t="shared" si="15"/>
        <v>0</v>
      </c>
      <c r="N51" s="7">
        <f t="shared" si="16"/>
        <v>0</v>
      </c>
      <c r="O51" s="11">
        <f t="shared" si="2"/>
        <v>0</v>
      </c>
      <c r="P51" s="9">
        <v>32</v>
      </c>
      <c r="Q51" s="9">
        <v>22.5</v>
      </c>
      <c r="R51" s="7">
        <f t="shared" si="17"/>
        <v>1890</v>
      </c>
      <c r="S51" s="7">
        <f t="shared" si="18"/>
        <v>2660</v>
      </c>
      <c r="T51" s="11">
        <f t="shared" si="40"/>
        <v>4550</v>
      </c>
      <c r="U51" s="9">
        <v>31.5</v>
      </c>
      <c r="V51" s="9">
        <v>16</v>
      </c>
      <c r="W51" s="7">
        <f t="shared" si="19"/>
        <v>1860</v>
      </c>
      <c r="X51" s="7">
        <f t="shared" si="20"/>
        <v>1890</v>
      </c>
      <c r="Y51" s="22">
        <f t="shared" si="41"/>
        <v>3750</v>
      </c>
      <c r="Z51" s="26">
        <f t="shared" si="21"/>
        <v>8300</v>
      </c>
      <c r="AA51" s="9"/>
      <c r="AB51" s="9"/>
      <c r="AC51" s="7">
        <f t="shared" si="22"/>
        <v>0</v>
      </c>
      <c r="AD51" s="7">
        <f t="shared" si="23"/>
        <v>0</v>
      </c>
      <c r="AE51" s="11">
        <f t="shared" si="42"/>
        <v>0</v>
      </c>
      <c r="AF51" s="9"/>
      <c r="AG51" s="9"/>
      <c r="AH51" s="7">
        <f t="shared" si="24"/>
        <v>0</v>
      </c>
      <c r="AI51" s="7">
        <f t="shared" si="25"/>
        <v>0</v>
      </c>
      <c r="AJ51" s="22">
        <f t="shared" si="43"/>
        <v>0</v>
      </c>
      <c r="AK51" s="26">
        <f t="shared" si="26"/>
        <v>0</v>
      </c>
      <c r="AL51" s="9"/>
      <c r="AM51" s="9"/>
      <c r="AN51" s="7">
        <f t="shared" si="27"/>
        <v>0</v>
      </c>
      <c r="AO51" s="7">
        <f t="shared" si="28"/>
        <v>0</v>
      </c>
      <c r="AP51" s="11">
        <f t="shared" si="44"/>
        <v>0</v>
      </c>
      <c r="AQ51" s="9"/>
      <c r="AR51" s="9"/>
      <c r="AS51" s="7">
        <f t="shared" si="29"/>
        <v>0</v>
      </c>
      <c r="AT51" s="7">
        <f t="shared" si="30"/>
        <v>0</v>
      </c>
      <c r="AU51" s="11">
        <f t="shared" si="45"/>
        <v>0</v>
      </c>
      <c r="AV51" s="9"/>
      <c r="AW51" s="9"/>
      <c r="AX51" s="7">
        <f t="shared" si="31"/>
        <v>0</v>
      </c>
      <c r="AY51" s="7">
        <f t="shared" si="32"/>
        <v>0</v>
      </c>
      <c r="AZ51" s="11">
        <f t="shared" si="46"/>
        <v>0</v>
      </c>
      <c r="BA51" s="9"/>
      <c r="BB51" s="9"/>
      <c r="BC51" s="7">
        <f t="shared" si="33"/>
        <v>0</v>
      </c>
      <c r="BD51" s="7">
        <f t="shared" si="34"/>
        <v>0</v>
      </c>
      <c r="BE51" s="11">
        <f t="shared" si="47"/>
        <v>0</v>
      </c>
      <c r="BF51" s="9"/>
      <c r="BG51" s="9"/>
      <c r="BH51" s="7">
        <f t="shared" si="35"/>
        <v>0</v>
      </c>
      <c r="BI51" s="7">
        <f t="shared" si="36"/>
        <v>0</v>
      </c>
      <c r="BJ51" s="11">
        <f t="shared" si="48"/>
        <v>0</v>
      </c>
      <c r="BK51" s="9"/>
      <c r="BL51" s="9"/>
      <c r="BM51" s="7">
        <f t="shared" si="37"/>
        <v>0</v>
      </c>
      <c r="BN51" s="7">
        <f t="shared" si="38"/>
        <v>0</v>
      </c>
      <c r="BO51" s="11">
        <f t="shared" si="49"/>
        <v>0</v>
      </c>
    </row>
    <row r="52" spans="1:67" x14ac:dyDescent="0.25">
      <c r="A52" t="s">
        <v>58</v>
      </c>
      <c r="B52" s="1">
        <v>1659</v>
      </c>
      <c r="C52">
        <v>215</v>
      </c>
      <c r="D52" s="7">
        <f t="shared" si="39"/>
        <v>3310</v>
      </c>
      <c r="E52" s="16"/>
      <c r="F52" s="19"/>
      <c r="G52" s="9"/>
      <c r="H52" s="7">
        <f t="shared" si="13"/>
        <v>0</v>
      </c>
      <c r="I52" s="7">
        <f t="shared" si="14"/>
        <v>0</v>
      </c>
      <c r="J52" s="11">
        <f t="shared" si="1"/>
        <v>0</v>
      </c>
      <c r="K52" s="9"/>
      <c r="L52" s="9"/>
      <c r="M52" s="7">
        <f t="shared" si="15"/>
        <v>0</v>
      </c>
      <c r="N52" s="7">
        <f t="shared" si="16"/>
        <v>0</v>
      </c>
      <c r="O52" s="11">
        <f t="shared" si="2"/>
        <v>0</v>
      </c>
      <c r="P52" s="9">
        <v>22</v>
      </c>
      <c r="Q52" s="9">
        <v>15</v>
      </c>
      <c r="R52" s="7">
        <f t="shared" si="17"/>
        <v>1300</v>
      </c>
      <c r="S52" s="7">
        <f t="shared" si="18"/>
        <v>1770</v>
      </c>
      <c r="T52" s="11">
        <f t="shared" si="40"/>
        <v>3070</v>
      </c>
      <c r="U52" s="9">
        <v>4</v>
      </c>
      <c r="V52" s="9"/>
      <c r="W52" s="7">
        <f t="shared" si="19"/>
        <v>240</v>
      </c>
      <c r="X52" s="7">
        <f t="shared" si="20"/>
        <v>0</v>
      </c>
      <c r="Y52" s="22">
        <f t="shared" si="41"/>
        <v>240</v>
      </c>
      <c r="Z52" s="26">
        <f t="shared" si="21"/>
        <v>3310</v>
      </c>
      <c r="AA52" s="9"/>
      <c r="AB52" s="9"/>
      <c r="AC52" s="7">
        <f t="shared" si="22"/>
        <v>0</v>
      </c>
      <c r="AD52" s="7">
        <f t="shared" si="23"/>
        <v>0</v>
      </c>
      <c r="AE52" s="11">
        <f t="shared" si="42"/>
        <v>0</v>
      </c>
      <c r="AF52" s="9"/>
      <c r="AG52" s="9"/>
      <c r="AH52" s="7">
        <f t="shared" si="24"/>
        <v>0</v>
      </c>
      <c r="AI52" s="7">
        <f t="shared" si="25"/>
        <v>0</v>
      </c>
      <c r="AJ52" s="22">
        <f t="shared" si="43"/>
        <v>0</v>
      </c>
      <c r="AK52" s="26">
        <f t="shared" si="26"/>
        <v>0</v>
      </c>
      <c r="AL52" s="9"/>
      <c r="AM52" s="9"/>
      <c r="AN52" s="7">
        <f t="shared" si="27"/>
        <v>0</v>
      </c>
      <c r="AO52" s="7">
        <f t="shared" si="28"/>
        <v>0</v>
      </c>
      <c r="AP52" s="11">
        <f t="shared" si="44"/>
        <v>0</v>
      </c>
      <c r="AQ52" s="9"/>
      <c r="AR52" s="9"/>
      <c r="AS52" s="7">
        <f t="shared" si="29"/>
        <v>0</v>
      </c>
      <c r="AT52" s="7">
        <f t="shared" si="30"/>
        <v>0</v>
      </c>
      <c r="AU52" s="11">
        <f t="shared" si="45"/>
        <v>0</v>
      </c>
      <c r="AV52" s="9"/>
      <c r="AW52" s="9"/>
      <c r="AX52" s="7">
        <f t="shared" si="31"/>
        <v>0</v>
      </c>
      <c r="AY52" s="7">
        <f t="shared" si="32"/>
        <v>0</v>
      </c>
      <c r="AZ52" s="11">
        <f t="shared" si="46"/>
        <v>0</v>
      </c>
      <c r="BA52" s="9"/>
      <c r="BB52" s="9"/>
      <c r="BC52" s="7">
        <f t="shared" si="33"/>
        <v>0</v>
      </c>
      <c r="BD52" s="7">
        <f t="shared" si="34"/>
        <v>0</v>
      </c>
      <c r="BE52" s="11">
        <f t="shared" si="47"/>
        <v>0</v>
      </c>
      <c r="BF52" s="9"/>
      <c r="BG52" s="9"/>
      <c r="BH52" s="7">
        <f t="shared" si="35"/>
        <v>0</v>
      </c>
      <c r="BI52" s="7">
        <f t="shared" si="36"/>
        <v>0</v>
      </c>
      <c r="BJ52" s="11">
        <f t="shared" si="48"/>
        <v>0</v>
      </c>
      <c r="BK52" s="9"/>
      <c r="BL52" s="9"/>
      <c r="BM52" s="7">
        <f t="shared" si="37"/>
        <v>0</v>
      </c>
      <c r="BN52" s="7">
        <f t="shared" si="38"/>
        <v>0</v>
      </c>
      <c r="BO52" s="11">
        <f t="shared" si="49"/>
        <v>0</v>
      </c>
    </row>
    <row r="53" spans="1:67" x14ac:dyDescent="0.25">
      <c r="A53" t="s">
        <v>59</v>
      </c>
      <c r="B53" s="1">
        <v>1294</v>
      </c>
      <c r="C53">
        <v>215</v>
      </c>
      <c r="D53" s="7">
        <f t="shared" si="39"/>
        <v>270</v>
      </c>
      <c r="E53" s="16"/>
      <c r="F53" s="19"/>
      <c r="G53" s="9"/>
      <c r="H53" s="7">
        <f t="shared" si="13"/>
        <v>0</v>
      </c>
      <c r="I53" s="7">
        <f t="shared" si="14"/>
        <v>0</v>
      </c>
      <c r="J53" s="11">
        <f t="shared" si="1"/>
        <v>0</v>
      </c>
      <c r="K53" s="9"/>
      <c r="L53" s="9"/>
      <c r="M53" s="7">
        <f t="shared" si="15"/>
        <v>0</v>
      </c>
      <c r="N53" s="7">
        <f t="shared" si="16"/>
        <v>0</v>
      </c>
      <c r="O53" s="11">
        <f t="shared" si="2"/>
        <v>0</v>
      </c>
      <c r="P53" s="9">
        <v>3.5</v>
      </c>
      <c r="Q53" s="9"/>
      <c r="R53" s="7">
        <f t="shared" si="17"/>
        <v>210</v>
      </c>
      <c r="S53" s="7">
        <f t="shared" si="18"/>
        <v>0</v>
      </c>
      <c r="T53" s="11">
        <f t="shared" si="40"/>
        <v>210</v>
      </c>
      <c r="U53" s="9">
        <v>1</v>
      </c>
      <c r="V53" s="9"/>
      <c r="W53" s="7">
        <f t="shared" si="19"/>
        <v>60</v>
      </c>
      <c r="X53" s="7">
        <f t="shared" si="20"/>
        <v>0</v>
      </c>
      <c r="Y53" s="22">
        <f t="shared" si="41"/>
        <v>60</v>
      </c>
      <c r="Z53" s="26">
        <f t="shared" si="21"/>
        <v>270</v>
      </c>
      <c r="AA53" s="9"/>
      <c r="AB53" s="9"/>
      <c r="AC53" s="7">
        <f t="shared" si="22"/>
        <v>0</v>
      </c>
      <c r="AD53" s="7">
        <f t="shared" si="23"/>
        <v>0</v>
      </c>
      <c r="AE53" s="11">
        <f t="shared" si="42"/>
        <v>0</v>
      </c>
      <c r="AF53" s="9"/>
      <c r="AG53" s="9"/>
      <c r="AH53" s="7">
        <f t="shared" si="24"/>
        <v>0</v>
      </c>
      <c r="AI53" s="7">
        <f t="shared" si="25"/>
        <v>0</v>
      </c>
      <c r="AJ53" s="22">
        <f t="shared" si="43"/>
        <v>0</v>
      </c>
      <c r="AK53" s="26">
        <f t="shared" si="26"/>
        <v>0</v>
      </c>
      <c r="AL53" s="9"/>
      <c r="AM53" s="9"/>
      <c r="AN53" s="7">
        <f t="shared" si="27"/>
        <v>0</v>
      </c>
      <c r="AO53" s="7">
        <f t="shared" si="28"/>
        <v>0</v>
      </c>
      <c r="AP53" s="11">
        <f t="shared" si="44"/>
        <v>0</v>
      </c>
      <c r="AQ53" s="9"/>
      <c r="AR53" s="9"/>
      <c r="AS53" s="7">
        <f t="shared" si="29"/>
        <v>0</v>
      </c>
      <c r="AT53" s="7">
        <f t="shared" si="30"/>
        <v>0</v>
      </c>
      <c r="AU53" s="11">
        <f t="shared" si="45"/>
        <v>0</v>
      </c>
      <c r="AV53" s="9"/>
      <c r="AW53" s="9"/>
      <c r="AX53" s="7">
        <f t="shared" si="31"/>
        <v>0</v>
      </c>
      <c r="AY53" s="7">
        <f t="shared" si="32"/>
        <v>0</v>
      </c>
      <c r="AZ53" s="11">
        <f t="shared" si="46"/>
        <v>0</v>
      </c>
      <c r="BA53" s="9"/>
      <c r="BB53" s="9"/>
      <c r="BC53" s="7">
        <f t="shared" si="33"/>
        <v>0</v>
      </c>
      <c r="BD53" s="7">
        <f t="shared" si="34"/>
        <v>0</v>
      </c>
      <c r="BE53" s="11">
        <f t="shared" si="47"/>
        <v>0</v>
      </c>
      <c r="BF53" s="9"/>
      <c r="BG53" s="9"/>
      <c r="BH53" s="7">
        <f t="shared" si="35"/>
        <v>0</v>
      </c>
      <c r="BI53" s="7">
        <f t="shared" si="36"/>
        <v>0</v>
      </c>
      <c r="BJ53" s="11">
        <f t="shared" si="48"/>
        <v>0</v>
      </c>
      <c r="BK53" s="9"/>
      <c r="BL53" s="9"/>
      <c r="BM53" s="7">
        <f t="shared" si="37"/>
        <v>0</v>
      </c>
      <c r="BN53" s="7">
        <f t="shared" si="38"/>
        <v>0</v>
      </c>
      <c r="BO53" s="11">
        <f t="shared" si="49"/>
        <v>0</v>
      </c>
    </row>
    <row r="54" spans="1:67" x14ac:dyDescent="0.25">
      <c r="A54" t="s">
        <v>60</v>
      </c>
      <c r="B54" s="1">
        <v>1639</v>
      </c>
      <c r="C54">
        <v>245</v>
      </c>
      <c r="D54" s="7">
        <f t="shared" si="39"/>
        <v>1110</v>
      </c>
      <c r="E54" s="16"/>
      <c r="F54" s="19"/>
      <c r="G54" s="9"/>
      <c r="H54" s="7">
        <f t="shared" si="13"/>
        <v>0</v>
      </c>
      <c r="I54" s="7">
        <f t="shared" si="14"/>
        <v>0</v>
      </c>
      <c r="J54" s="11">
        <f t="shared" si="1"/>
        <v>0</v>
      </c>
      <c r="K54" s="9"/>
      <c r="L54" s="9"/>
      <c r="M54" s="7">
        <f t="shared" si="15"/>
        <v>0</v>
      </c>
      <c r="N54" s="7">
        <f t="shared" si="16"/>
        <v>0</v>
      </c>
      <c r="O54" s="11">
        <f t="shared" si="2"/>
        <v>0</v>
      </c>
      <c r="P54" s="9">
        <v>2</v>
      </c>
      <c r="Q54" s="9"/>
      <c r="R54" s="7">
        <f t="shared" si="17"/>
        <v>130</v>
      </c>
      <c r="S54" s="7">
        <f t="shared" si="18"/>
        <v>0</v>
      </c>
      <c r="T54" s="11">
        <f t="shared" si="40"/>
        <v>130</v>
      </c>
      <c r="U54" s="9">
        <v>14.5</v>
      </c>
      <c r="V54" s="9"/>
      <c r="W54" s="7">
        <f t="shared" si="19"/>
        <v>980</v>
      </c>
      <c r="X54" s="7">
        <f t="shared" si="20"/>
        <v>0</v>
      </c>
      <c r="Y54" s="22">
        <f t="shared" si="41"/>
        <v>980</v>
      </c>
      <c r="Z54" s="26">
        <f t="shared" si="21"/>
        <v>1110</v>
      </c>
      <c r="AA54" s="9"/>
      <c r="AB54" s="9"/>
      <c r="AC54" s="7">
        <f t="shared" si="22"/>
        <v>0</v>
      </c>
      <c r="AD54" s="7">
        <f t="shared" si="23"/>
        <v>0</v>
      </c>
      <c r="AE54" s="11">
        <f t="shared" si="42"/>
        <v>0</v>
      </c>
      <c r="AF54" s="9"/>
      <c r="AG54" s="9"/>
      <c r="AH54" s="7">
        <f t="shared" si="24"/>
        <v>0</v>
      </c>
      <c r="AI54" s="7">
        <f t="shared" si="25"/>
        <v>0</v>
      </c>
      <c r="AJ54" s="22">
        <f t="shared" si="43"/>
        <v>0</v>
      </c>
      <c r="AK54" s="26">
        <f t="shared" si="26"/>
        <v>0</v>
      </c>
      <c r="AL54" s="9"/>
      <c r="AM54" s="9"/>
      <c r="AN54" s="7">
        <f t="shared" si="27"/>
        <v>0</v>
      </c>
      <c r="AO54" s="7">
        <f t="shared" si="28"/>
        <v>0</v>
      </c>
      <c r="AP54" s="11">
        <f t="shared" si="44"/>
        <v>0</v>
      </c>
      <c r="AQ54" s="9"/>
      <c r="AR54" s="9"/>
      <c r="AS54" s="7">
        <f t="shared" si="29"/>
        <v>0</v>
      </c>
      <c r="AT54" s="7">
        <f t="shared" si="30"/>
        <v>0</v>
      </c>
      <c r="AU54" s="11">
        <f t="shared" si="45"/>
        <v>0</v>
      </c>
      <c r="AV54" s="9"/>
      <c r="AW54" s="9"/>
      <c r="AX54" s="7">
        <f t="shared" si="31"/>
        <v>0</v>
      </c>
      <c r="AY54" s="7">
        <f t="shared" si="32"/>
        <v>0</v>
      </c>
      <c r="AZ54" s="11">
        <f t="shared" si="46"/>
        <v>0</v>
      </c>
      <c r="BA54" s="9"/>
      <c r="BB54" s="9"/>
      <c r="BC54" s="7">
        <f t="shared" si="33"/>
        <v>0</v>
      </c>
      <c r="BD54" s="7">
        <f t="shared" si="34"/>
        <v>0</v>
      </c>
      <c r="BE54" s="11">
        <f t="shared" si="47"/>
        <v>0</v>
      </c>
      <c r="BF54" s="9"/>
      <c r="BG54" s="9"/>
      <c r="BH54" s="7">
        <f t="shared" si="35"/>
        <v>0</v>
      </c>
      <c r="BI54" s="7">
        <f t="shared" si="36"/>
        <v>0</v>
      </c>
      <c r="BJ54" s="11">
        <f t="shared" si="48"/>
        <v>0</v>
      </c>
      <c r="BK54" s="9"/>
      <c r="BL54" s="9"/>
      <c r="BM54" s="7">
        <f t="shared" si="37"/>
        <v>0</v>
      </c>
      <c r="BN54" s="7">
        <f t="shared" si="38"/>
        <v>0</v>
      </c>
      <c r="BO54" s="11">
        <f t="shared" si="49"/>
        <v>0</v>
      </c>
    </row>
    <row r="55" spans="1:67" x14ac:dyDescent="0.25">
      <c r="A55" t="s">
        <v>61</v>
      </c>
      <c r="B55" s="1">
        <v>1629</v>
      </c>
      <c r="C55">
        <v>200</v>
      </c>
      <c r="D55" s="7">
        <f t="shared" si="39"/>
        <v>0</v>
      </c>
      <c r="E55" s="16"/>
      <c r="F55" s="19"/>
      <c r="G55" s="9"/>
      <c r="H55" s="7">
        <f t="shared" si="13"/>
        <v>0</v>
      </c>
      <c r="I55" s="7">
        <f t="shared" si="14"/>
        <v>0</v>
      </c>
      <c r="J55" s="11">
        <f t="shared" si="1"/>
        <v>0</v>
      </c>
      <c r="K55" s="9"/>
      <c r="L55" s="9"/>
      <c r="M55" s="7">
        <f t="shared" si="15"/>
        <v>0</v>
      </c>
      <c r="N55" s="7">
        <f t="shared" si="16"/>
        <v>0</v>
      </c>
      <c r="O55" s="11">
        <f t="shared" si="2"/>
        <v>0</v>
      </c>
      <c r="P55" s="9"/>
      <c r="Q55" s="9"/>
      <c r="R55" s="7">
        <f t="shared" si="17"/>
        <v>0</v>
      </c>
      <c r="S55" s="7">
        <f t="shared" si="18"/>
        <v>0</v>
      </c>
      <c r="T55" s="11">
        <f t="shared" si="40"/>
        <v>0</v>
      </c>
      <c r="U55" s="9"/>
      <c r="V55" s="9"/>
      <c r="W55" s="7">
        <f t="shared" si="19"/>
        <v>0</v>
      </c>
      <c r="X55" s="7">
        <f t="shared" si="20"/>
        <v>0</v>
      </c>
      <c r="Y55" s="22">
        <f t="shared" si="41"/>
        <v>0</v>
      </c>
      <c r="Z55" s="26">
        <f t="shared" si="21"/>
        <v>0</v>
      </c>
      <c r="AA55" s="9"/>
      <c r="AB55" s="9"/>
      <c r="AC55" s="7">
        <f t="shared" si="22"/>
        <v>0</v>
      </c>
      <c r="AD55" s="7">
        <f t="shared" si="23"/>
        <v>0</v>
      </c>
      <c r="AE55" s="11">
        <f t="shared" si="42"/>
        <v>0</v>
      </c>
      <c r="AF55" s="9"/>
      <c r="AG55" s="9"/>
      <c r="AH55" s="7">
        <f t="shared" si="24"/>
        <v>0</v>
      </c>
      <c r="AI55" s="7">
        <f t="shared" si="25"/>
        <v>0</v>
      </c>
      <c r="AJ55" s="22">
        <f t="shared" si="43"/>
        <v>0</v>
      </c>
      <c r="AK55" s="26">
        <f t="shared" si="26"/>
        <v>0</v>
      </c>
      <c r="AL55" s="9"/>
      <c r="AM55" s="9"/>
      <c r="AN55" s="7">
        <f t="shared" si="27"/>
        <v>0</v>
      </c>
      <c r="AO55" s="7">
        <f t="shared" si="28"/>
        <v>0</v>
      </c>
      <c r="AP55" s="11">
        <f t="shared" si="44"/>
        <v>0</v>
      </c>
      <c r="AQ55" s="9"/>
      <c r="AR55" s="9"/>
      <c r="AS55" s="7">
        <f t="shared" si="29"/>
        <v>0</v>
      </c>
      <c r="AT55" s="7">
        <f t="shared" si="30"/>
        <v>0</v>
      </c>
      <c r="AU55" s="11">
        <f t="shared" si="45"/>
        <v>0</v>
      </c>
      <c r="AV55" s="9"/>
      <c r="AW55" s="9"/>
      <c r="AX55" s="7">
        <f t="shared" si="31"/>
        <v>0</v>
      </c>
      <c r="AY55" s="7">
        <f t="shared" si="32"/>
        <v>0</v>
      </c>
      <c r="AZ55" s="11">
        <f t="shared" si="46"/>
        <v>0</v>
      </c>
      <c r="BA55" s="9"/>
      <c r="BB55" s="9"/>
      <c r="BC55" s="7">
        <f t="shared" si="33"/>
        <v>0</v>
      </c>
      <c r="BD55" s="7">
        <f t="shared" si="34"/>
        <v>0</v>
      </c>
      <c r="BE55" s="11">
        <f t="shared" si="47"/>
        <v>0</v>
      </c>
      <c r="BF55" s="9"/>
      <c r="BG55" s="9"/>
      <c r="BH55" s="7">
        <f t="shared" si="35"/>
        <v>0</v>
      </c>
      <c r="BI55" s="7">
        <f t="shared" si="36"/>
        <v>0</v>
      </c>
      <c r="BJ55" s="11">
        <f t="shared" si="48"/>
        <v>0</v>
      </c>
      <c r="BK55" s="9"/>
      <c r="BL55" s="9"/>
      <c r="BM55" s="7">
        <f t="shared" si="37"/>
        <v>0</v>
      </c>
      <c r="BN55" s="7">
        <f t="shared" si="38"/>
        <v>0</v>
      </c>
      <c r="BO55" s="11">
        <f t="shared" si="49"/>
        <v>0</v>
      </c>
    </row>
    <row r="56" spans="1:67" x14ac:dyDescent="0.25">
      <c r="A56" t="s">
        <v>62</v>
      </c>
      <c r="B56" s="1">
        <v>1722</v>
      </c>
      <c r="C56">
        <v>185</v>
      </c>
      <c r="D56" s="7">
        <f t="shared" si="39"/>
        <v>400</v>
      </c>
      <c r="E56" s="16"/>
      <c r="F56" s="19"/>
      <c r="G56" s="9"/>
      <c r="H56" s="7">
        <f t="shared" si="13"/>
        <v>0</v>
      </c>
      <c r="I56" s="7">
        <f t="shared" si="14"/>
        <v>0</v>
      </c>
      <c r="J56" s="11">
        <f t="shared" si="1"/>
        <v>0</v>
      </c>
      <c r="K56" s="9"/>
      <c r="L56" s="9"/>
      <c r="M56" s="7">
        <f t="shared" si="15"/>
        <v>0</v>
      </c>
      <c r="N56" s="7">
        <f t="shared" si="16"/>
        <v>0</v>
      </c>
      <c r="O56" s="11">
        <f t="shared" si="2"/>
        <v>0</v>
      </c>
      <c r="P56" s="9">
        <v>4</v>
      </c>
      <c r="Q56" s="9"/>
      <c r="R56" s="7">
        <f t="shared" si="17"/>
        <v>200</v>
      </c>
      <c r="S56" s="7">
        <f t="shared" si="18"/>
        <v>0</v>
      </c>
      <c r="T56" s="11">
        <f t="shared" si="40"/>
        <v>200</v>
      </c>
      <c r="U56" s="9">
        <v>4</v>
      </c>
      <c r="V56" s="9"/>
      <c r="W56" s="7">
        <f t="shared" si="19"/>
        <v>200</v>
      </c>
      <c r="X56" s="7">
        <f t="shared" si="20"/>
        <v>0</v>
      </c>
      <c r="Y56" s="22">
        <f t="shared" si="41"/>
        <v>200</v>
      </c>
      <c r="Z56" s="26">
        <f t="shared" si="21"/>
        <v>400</v>
      </c>
      <c r="AA56" s="9"/>
      <c r="AB56" s="9"/>
      <c r="AC56" s="7">
        <f t="shared" si="22"/>
        <v>0</v>
      </c>
      <c r="AD56" s="7">
        <f t="shared" si="23"/>
        <v>0</v>
      </c>
      <c r="AE56" s="11">
        <f t="shared" si="42"/>
        <v>0</v>
      </c>
      <c r="AF56" s="9"/>
      <c r="AG56" s="9"/>
      <c r="AH56" s="7">
        <f t="shared" si="24"/>
        <v>0</v>
      </c>
      <c r="AI56" s="7">
        <f t="shared" si="25"/>
        <v>0</v>
      </c>
      <c r="AJ56" s="22">
        <f t="shared" si="43"/>
        <v>0</v>
      </c>
      <c r="AK56" s="26">
        <f t="shared" si="26"/>
        <v>0</v>
      </c>
      <c r="AL56" s="9"/>
      <c r="AM56" s="9"/>
      <c r="AN56" s="7">
        <f t="shared" si="27"/>
        <v>0</v>
      </c>
      <c r="AO56" s="7">
        <f t="shared" si="28"/>
        <v>0</v>
      </c>
      <c r="AP56" s="11">
        <f t="shared" si="44"/>
        <v>0</v>
      </c>
      <c r="AQ56" s="9"/>
      <c r="AR56" s="9"/>
      <c r="AS56" s="7">
        <f t="shared" si="29"/>
        <v>0</v>
      </c>
      <c r="AT56" s="7">
        <f t="shared" si="30"/>
        <v>0</v>
      </c>
      <c r="AU56" s="11">
        <f t="shared" si="45"/>
        <v>0</v>
      </c>
      <c r="AV56" s="9"/>
      <c r="AW56" s="9"/>
      <c r="AX56" s="7">
        <f t="shared" si="31"/>
        <v>0</v>
      </c>
      <c r="AY56" s="7">
        <f t="shared" si="32"/>
        <v>0</v>
      </c>
      <c r="AZ56" s="11">
        <f t="shared" si="46"/>
        <v>0</v>
      </c>
      <c r="BA56" s="9"/>
      <c r="BB56" s="9"/>
      <c r="BC56" s="7">
        <f t="shared" si="33"/>
        <v>0</v>
      </c>
      <c r="BD56" s="7">
        <f t="shared" si="34"/>
        <v>0</v>
      </c>
      <c r="BE56" s="11">
        <f t="shared" si="47"/>
        <v>0</v>
      </c>
      <c r="BF56" s="9"/>
      <c r="BG56" s="9"/>
      <c r="BH56" s="7">
        <f t="shared" si="35"/>
        <v>0</v>
      </c>
      <c r="BI56" s="7">
        <f t="shared" si="36"/>
        <v>0</v>
      </c>
      <c r="BJ56" s="11">
        <f t="shared" si="48"/>
        <v>0</v>
      </c>
      <c r="BK56" s="9"/>
      <c r="BL56" s="9"/>
      <c r="BM56" s="7">
        <f t="shared" si="37"/>
        <v>0</v>
      </c>
      <c r="BN56" s="7">
        <f t="shared" si="38"/>
        <v>0</v>
      </c>
      <c r="BO56" s="11">
        <f t="shared" si="49"/>
        <v>0</v>
      </c>
    </row>
    <row r="57" spans="1:67" x14ac:dyDescent="0.25">
      <c r="A57" t="s">
        <v>63</v>
      </c>
      <c r="B57" s="1">
        <v>1607</v>
      </c>
      <c r="C57">
        <v>215</v>
      </c>
      <c r="D57" s="7">
        <f t="shared" si="39"/>
        <v>890</v>
      </c>
      <c r="E57" s="16"/>
      <c r="F57" s="19"/>
      <c r="G57" s="9"/>
      <c r="H57" s="7">
        <f t="shared" si="13"/>
        <v>0</v>
      </c>
      <c r="I57" s="7">
        <f t="shared" si="14"/>
        <v>0</v>
      </c>
      <c r="J57" s="11">
        <f t="shared" si="1"/>
        <v>0</v>
      </c>
      <c r="K57" s="9"/>
      <c r="L57" s="9"/>
      <c r="M57" s="7">
        <f t="shared" si="15"/>
        <v>0</v>
      </c>
      <c r="N57" s="7">
        <f t="shared" si="16"/>
        <v>0</v>
      </c>
      <c r="O57" s="11">
        <f t="shared" si="2"/>
        <v>0</v>
      </c>
      <c r="P57" s="9"/>
      <c r="Q57" s="9">
        <v>7.5</v>
      </c>
      <c r="R57" s="7">
        <f t="shared" si="17"/>
        <v>0</v>
      </c>
      <c r="S57" s="7">
        <f t="shared" si="18"/>
        <v>890</v>
      </c>
      <c r="T57" s="11">
        <f t="shared" si="40"/>
        <v>890</v>
      </c>
      <c r="U57" s="9"/>
      <c r="V57" s="9"/>
      <c r="W57" s="7">
        <f t="shared" si="19"/>
        <v>0</v>
      </c>
      <c r="X57" s="7">
        <f t="shared" si="20"/>
        <v>0</v>
      </c>
      <c r="Y57" s="22">
        <f t="shared" si="41"/>
        <v>0</v>
      </c>
      <c r="Z57" s="26">
        <f t="shared" si="21"/>
        <v>890</v>
      </c>
      <c r="AA57" s="9"/>
      <c r="AB57" s="9"/>
      <c r="AC57" s="7">
        <f t="shared" si="22"/>
        <v>0</v>
      </c>
      <c r="AD57" s="7">
        <f t="shared" si="23"/>
        <v>0</v>
      </c>
      <c r="AE57" s="11">
        <f t="shared" si="42"/>
        <v>0</v>
      </c>
      <c r="AF57" s="9"/>
      <c r="AG57" s="9"/>
      <c r="AH57" s="7">
        <f t="shared" si="24"/>
        <v>0</v>
      </c>
      <c r="AI57" s="7">
        <f t="shared" si="25"/>
        <v>0</v>
      </c>
      <c r="AJ57" s="22">
        <f t="shared" si="43"/>
        <v>0</v>
      </c>
      <c r="AK57" s="26">
        <f t="shared" si="26"/>
        <v>0</v>
      </c>
      <c r="AL57" s="9"/>
      <c r="AM57" s="9"/>
      <c r="AN57" s="7">
        <f t="shared" si="27"/>
        <v>0</v>
      </c>
      <c r="AO57" s="7">
        <f t="shared" si="28"/>
        <v>0</v>
      </c>
      <c r="AP57" s="11">
        <f t="shared" si="44"/>
        <v>0</v>
      </c>
      <c r="AQ57" s="9"/>
      <c r="AR57" s="9"/>
      <c r="AS57" s="7">
        <f t="shared" si="29"/>
        <v>0</v>
      </c>
      <c r="AT57" s="7">
        <f t="shared" si="30"/>
        <v>0</v>
      </c>
      <c r="AU57" s="11">
        <f t="shared" si="45"/>
        <v>0</v>
      </c>
      <c r="AV57" s="9"/>
      <c r="AW57" s="9"/>
      <c r="AX57" s="7">
        <f t="shared" si="31"/>
        <v>0</v>
      </c>
      <c r="AY57" s="7">
        <f t="shared" si="32"/>
        <v>0</v>
      </c>
      <c r="AZ57" s="11">
        <f t="shared" si="46"/>
        <v>0</v>
      </c>
      <c r="BA57" s="9"/>
      <c r="BB57" s="9"/>
      <c r="BC57" s="7">
        <f t="shared" si="33"/>
        <v>0</v>
      </c>
      <c r="BD57" s="7">
        <f t="shared" si="34"/>
        <v>0</v>
      </c>
      <c r="BE57" s="11">
        <f t="shared" si="47"/>
        <v>0</v>
      </c>
      <c r="BF57" s="9"/>
      <c r="BG57" s="9"/>
      <c r="BH57" s="7">
        <f t="shared" si="35"/>
        <v>0</v>
      </c>
      <c r="BI57" s="7">
        <f t="shared" si="36"/>
        <v>0</v>
      </c>
      <c r="BJ57" s="11">
        <f t="shared" si="48"/>
        <v>0</v>
      </c>
      <c r="BK57" s="9"/>
      <c r="BL57" s="9"/>
      <c r="BM57" s="7">
        <f t="shared" si="37"/>
        <v>0</v>
      </c>
      <c r="BN57" s="7">
        <f t="shared" si="38"/>
        <v>0</v>
      </c>
      <c r="BO57" s="11">
        <f t="shared" si="49"/>
        <v>0</v>
      </c>
    </row>
    <row r="58" spans="1:67" x14ac:dyDescent="0.25">
      <c r="A58" t="s">
        <v>64</v>
      </c>
      <c r="B58" s="1">
        <v>1710</v>
      </c>
      <c r="C58">
        <v>215</v>
      </c>
      <c r="D58" s="7">
        <f t="shared" si="39"/>
        <v>0</v>
      </c>
      <c r="E58" s="16"/>
      <c r="F58" s="19"/>
      <c r="G58" s="9"/>
      <c r="H58" s="7">
        <f t="shared" si="13"/>
        <v>0</v>
      </c>
      <c r="I58" s="7">
        <f t="shared" si="14"/>
        <v>0</v>
      </c>
      <c r="J58" s="11">
        <f t="shared" si="1"/>
        <v>0</v>
      </c>
      <c r="K58" s="9"/>
      <c r="L58" s="9"/>
      <c r="M58" s="7">
        <f t="shared" si="15"/>
        <v>0</v>
      </c>
      <c r="N58" s="7">
        <f t="shared" si="16"/>
        <v>0</v>
      </c>
      <c r="O58" s="11">
        <f t="shared" si="2"/>
        <v>0</v>
      </c>
      <c r="P58" s="9"/>
      <c r="Q58" s="9"/>
      <c r="R58" s="7">
        <f t="shared" si="17"/>
        <v>0</v>
      </c>
      <c r="S58" s="7">
        <f t="shared" si="18"/>
        <v>0</v>
      </c>
      <c r="T58" s="11">
        <f t="shared" si="40"/>
        <v>0</v>
      </c>
      <c r="U58" s="9"/>
      <c r="V58" s="9"/>
      <c r="W58" s="7">
        <f t="shared" si="19"/>
        <v>0</v>
      </c>
      <c r="X58" s="7">
        <f t="shared" si="20"/>
        <v>0</v>
      </c>
      <c r="Y58" s="22">
        <f t="shared" si="41"/>
        <v>0</v>
      </c>
      <c r="Z58" s="26">
        <f t="shared" si="21"/>
        <v>0</v>
      </c>
      <c r="AA58" s="9"/>
      <c r="AB58" s="9"/>
      <c r="AC58" s="7">
        <f t="shared" si="22"/>
        <v>0</v>
      </c>
      <c r="AD58" s="7">
        <f t="shared" si="23"/>
        <v>0</v>
      </c>
      <c r="AE58" s="11">
        <f t="shared" si="42"/>
        <v>0</v>
      </c>
      <c r="AF58" s="9"/>
      <c r="AG58" s="9"/>
      <c r="AH58" s="7">
        <f t="shared" si="24"/>
        <v>0</v>
      </c>
      <c r="AI58" s="7">
        <f t="shared" si="25"/>
        <v>0</v>
      </c>
      <c r="AJ58" s="22">
        <f t="shared" si="43"/>
        <v>0</v>
      </c>
      <c r="AK58" s="26">
        <f t="shared" si="26"/>
        <v>0</v>
      </c>
      <c r="AL58" s="9"/>
      <c r="AM58" s="9"/>
      <c r="AN58" s="7">
        <f t="shared" si="27"/>
        <v>0</v>
      </c>
      <c r="AO58" s="7">
        <f t="shared" si="28"/>
        <v>0</v>
      </c>
      <c r="AP58" s="11">
        <f t="shared" si="44"/>
        <v>0</v>
      </c>
      <c r="AQ58" s="9"/>
      <c r="AR58" s="9"/>
      <c r="AS58" s="7">
        <f t="shared" si="29"/>
        <v>0</v>
      </c>
      <c r="AT58" s="7">
        <f t="shared" si="30"/>
        <v>0</v>
      </c>
      <c r="AU58" s="11">
        <f t="shared" si="45"/>
        <v>0</v>
      </c>
      <c r="AV58" s="9"/>
      <c r="AW58" s="9"/>
      <c r="AX58" s="7">
        <f t="shared" si="31"/>
        <v>0</v>
      </c>
      <c r="AY58" s="7">
        <f t="shared" si="32"/>
        <v>0</v>
      </c>
      <c r="AZ58" s="11">
        <f t="shared" si="46"/>
        <v>0</v>
      </c>
      <c r="BA58" s="9"/>
      <c r="BB58" s="9"/>
      <c r="BC58" s="7">
        <f t="shared" si="33"/>
        <v>0</v>
      </c>
      <c r="BD58" s="7">
        <f t="shared" si="34"/>
        <v>0</v>
      </c>
      <c r="BE58" s="11">
        <f t="shared" si="47"/>
        <v>0</v>
      </c>
      <c r="BF58" s="9"/>
      <c r="BG58" s="9"/>
      <c r="BH58" s="7">
        <f t="shared" si="35"/>
        <v>0</v>
      </c>
      <c r="BI58" s="7">
        <f t="shared" si="36"/>
        <v>0</v>
      </c>
      <c r="BJ58" s="11">
        <f t="shared" si="48"/>
        <v>0</v>
      </c>
      <c r="BK58" s="9"/>
      <c r="BL58" s="9"/>
      <c r="BM58" s="7">
        <f t="shared" si="37"/>
        <v>0</v>
      </c>
      <c r="BN58" s="7">
        <f t="shared" si="38"/>
        <v>0</v>
      </c>
      <c r="BO58" s="11">
        <f t="shared" si="49"/>
        <v>0</v>
      </c>
    </row>
    <row r="59" spans="1:67" x14ac:dyDescent="0.25">
      <c r="A59" t="s">
        <v>65</v>
      </c>
      <c r="B59" s="1">
        <v>1527</v>
      </c>
      <c r="C59">
        <v>245</v>
      </c>
      <c r="D59" s="7">
        <f t="shared" si="39"/>
        <v>9600</v>
      </c>
      <c r="E59" s="16"/>
      <c r="F59" s="19"/>
      <c r="G59" s="9"/>
      <c r="H59" s="7">
        <f t="shared" si="13"/>
        <v>0</v>
      </c>
      <c r="I59" s="7">
        <f t="shared" si="14"/>
        <v>0</v>
      </c>
      <c r="J59" s="11">
        <f t="shared" si="1"/>
        <v>0</v>
      </c>
      <c r="K59" s="9"/>
      <c r="L59" s="9"/>
      <c r="M59" s="7">
        <f t="shared" si="15"/>
        <v>0</v>
      </c>
      <c r="N59" s="7">
        <f t="shared" si="16"/>
        <v>0</v>
      </c>
      <c r="O59" s="11">
        <f t="shared" si="2"/>
        <v>0</v>
      </c>
      <c r="P59" s="9">
        <v>23</v>
      </c>
      <c r="Q59" s="9">
        <v>22.5</v>
      </c>
      <c r="R59" s="7">
        <f t="shared" si="17"/>
        <v>1550</v>
      </c>
      <c r="S59" s="7">
        <f t="shared" si="18"/>
        <v>3030</v>
      </c>
      <c r="T59" s="11">
        <f t="shared" si="40"/>
        <v>4580</v>
      </c>
      <c r="U59" s="9">
        <v>27.5</v>
      </c>
      <c r="V59" s="9">
        <v>23.5</v>
      </c>
      <c r="W59" s="7">
        <f t="shared" si="19"/>
        <v>1850</v>
      </c>
      <c r="X59" s="7">
        <f t="shared" si="20"/>
        <v>3170</v>
      </c>
      <c r="Y59" s="22">
        <f t="shared" si="41"/>
        <v>5020</v>
      </c>
      <c r="Z59" s="26">
        <f t="shared" si="21"/>
        <v>9600</v>
      </c>
      <c r="AA59" s="9"/>
      <c r="AB59" s="9"/>
      <c r="AC59" s="7">
        <f t="shared" si="22"/>
        <v>0</v>
      </c>
      <c r="AD59" s="7">
        <f t="shared" si="23"/>
        <v>0</v>
      </c>
      <c r="AE59" s="11">
        <f t="shared" si="42"/>
        <v>0</v>
      </c>
      <c r="AF59" s="9"/>
      <c r="AG59" s="9"/>
      <c r="AH59" s="7">
        <f t="shared" si="24"/>
        <v>0</v>
      </c>
      <c r="AI59" s="7">
        <f t="shared" si="25"/>
        <v>0</v>
      </c>
      <c r="AJ59" s="22">
        <f t="shared" si="43"/>
        <v>0</v>
      </c>
      <c r="AK59" s="26">
        <f t="shared" si="26"/>
        <v>0</v>
      </c>
      <c r="AL59" s="9"/>
      <c r="AM59" s="9"/>
      <c r="AN59" s="7">
        <f t="shared" si="27"/>
        <v>0</v>
      </c>
      <c r="AO59" s="7">
        <f t="shared" si="28"/>
        <v>0</v>
      </c>
      <c r="AP59" s="11">
        <f t="shared" si="44"/>
        <v>0</v>
      </c>
      <c r="AQ59" s="9"/>
      <c r="AR59" s="9"/>
      <c r="AS59" s="7">
        <f t="shared" si="29"/>
        <v>0</v>
      </c>
      <c r="AT59" s="7">
        <f t="shared" si="30"/>
        <v>0</v>
      </c>
      <c r="AU59" s="11">
        <f t="shared" si="45"/>
        <v>0</v>
      </c>
      <c r="AV59" s="9"/>
      <c r="AW59" s="9"/>
      <c r="AX59" s="7">
        <f t="shared" si="31"/>
        <v>0</v>
      </c>
      <c r="AY59" s="7">
        <f t="shared" si="32"/>
        <v>0</v>
      </c>
      <c r="AZ59" s="11">
        <f t="shared" si="46"/>
        <v>0</v>
      </c>
      <c r="BA59" s="9"/>
      <c r="BB59" s="9"/>
      <c r="BC59" s="7">
        <f t="shared" si="33"/>
        <v>0</v>
      </c>
      <c r="BD59" s="7">
        <f t="shared" si="34"/>
        <v>0</v>
      </c>
      <c r="BE59" s="11">
        <f t="shared" si="47"/>
        <v>0</v>
      </c>
      <c r="BF59" s="9"/>
      <c r="BG59" s="9"/>
      <c r="BH59" s="7">
        <f t="shared" si="35"/>
        <v>0</v>
      </c>
      <c r="BI59" s="7">
        <f t="shared" si="36"/>
        <v>0</v>
      </c>
      <c r="BJ59" s="11">
        <f t="shared" si="48"/>
        <v>0</v>
      </c>
      <c r="BK59" s="9"/>
      <c r="BL59" s="9"/>
      <c r="BM59" s="7">
        <f t="shared" si="37"/>
        <v>0</v>
      </c>
      <c r="BN59" s="7">
        <f t="shared" si="38"/>
        <v>0</v>
      </c>
      <c r="BO59" s="11">
        <f t="shared" si="49"/>
        <v>0</v>
      </c>
    </row>
    <row r="60" spans="1:67" x14ac:dyDescent="0.25">
      <c r="A60" t="s">
        <v>66</v>
      </c>
      <c r="B60" s="1">
        <v>1471</v>
      </c>
      <c r="C60">
        <v>245</v>
      </c>
      <c r="D60" s="7">
        <f t="shared" si="39"/>
        <v>5390</v>
      </c>
      <c r="E60" s="16"/>
      <c r="F60" s="19"/>
      <c r="G60" s="9"/>
      <c r="H60" s="7">
        <f t="shared" si="13"/>
        <v>0</v>
      </c>
      <c r="I60" s="7">
        <f t="shared" si="14"/>
        <v>0</v>
      </c>
      <c r="J60" s="11">
        <f t="shared" si="1"/>
        <v>0</v>
      </c>
      <c r="K60" s="9"/>
      <c r="L60" s="9"/>
      <c r="M60" s="7">
        <f t="shared" si="15"/>
        <v>0</v>
      </c>
      <c r="N60" s="7">
        <f t="shared" si="16"/>
        <v>0</v>
      </c>
      <c r="O60" s="11">
        <f t="shared" si="2"/>
        <v>0</v>
      </c>
      <c r="P60" s="9"/>
      <c r="Q60" s="9">
        <v>22.5</v>
      </c>
      <c r="R60" s="7">
        <f t="shared" si="17"/>
        <v>0</v>
      </c>
      <c r="S60" s="7">
        <f t="shared" si="18"/>
        <v>3030</v>
      </c>
      <c r="T60" s="11">
        <f t="shared" si="40"/>
        <v>3030</v>
      </c>
      <c r="U60" s="9">
        <v>3</v>
      </c>
      <c r="V60" s="9">
        <v>16</v>
      </c>
      <c r="W60" s="7">
        <f t="shared" si="19"/>
        <v>200</v>
      </c>
      <c r="X60" s="7">
        <f t="shared" si="20"/>
        <v>2160</v>
      </c>
      <c r="Y60" s="22">
        <f t="shared" si="41"/>
        <v>2360</v>
      </c>
      <c r="Z60" s="26">
        <f t="shared" si="21"/>
        <v>5390</v>
      </c>
      <c r="AA60" s="9"/>
      <c r="AB60" s="9"/>
      <c r="AC60" s="7">
        <f t="shared" si="22"/>
        <v>0</v>
      </c>
      <c r="AD60" s="7">
        <f t="shared" si="23"/>
        <v>0</v>
      </c>
      <c r="AE60" s="11">
        <f t="shared" si="42"/>
        <v>0</v>
      </c>
      <c r="AF60" s="9"/>
      <c r="AG60" s="9"/>
      <c r="AH60" s="7">
        <f t="shared" si="24"/>
        <v>0</v>
      </c>
      <c r="AI60" s="7">
        <f t="shared" si="25"/>
        <v>0</v>
      </c>
      <c r="AJ60" s="22">
        <f t="shared" si="43"/>
        <v>0</v>
      </c>
      <c r="AK60" s="26">
        <f t="shared" si="26"/>
        <v>0</v>
      </c>
      <c r="AL60" s="9"/>
      <c r="AM60" s="9"/>
      <c r="AN60" s="7">
        <f t="shared" si="27"/>
        <v>0</v>
      </c>
      <c r="AO60" s="7">
        <f t="shared" si="28"/>
        <v>0</v>
      </c>
      <c r="AP60" s="11">
        <f t="shared" si="44"/>
        <v>0</v>
      </c>
      <c r="AQ60" s="9"/>
      <c r="AR60" s="9"/>
      <c r="AS60" s="7">
        <f t="shared" si="29"/>
        <v>0</v>
      </c>
      <c r="AT60" s="7">
        <f t="shared" si="30"/>
        <v>0</v>
      </c>
      <c r="AU60" s="11">
        <f t="shared" si="45"/>
        <v>0</v>
      </c>
      <c r="AV60" s="9"/>
      <c r="AW60" s="9"/>
      <c r="AX60" s="7">
        <f t="shared" si="31"/>
        <v>0</v>
      </c>
      <c r="AY60" s="7">
        <f t="shared" si="32"/>
        <v>0</v>
      </c>
      <c r="AZ60" s="11">
        <f t="shared" si="46"/>
        <v>0</v>
      </c>
      <c r="BA60" s="9"/>
      <c r="BB60" s="9"/>
      <c r="BC60" s="7">
        <f t="shared" si="33"/>
        <v>0</v>
      </c>
      <c r="BD60" s="7">
        <f t="shared" si="34"/>
        <v>0</v>
      </c>
      <c r="BE60" s="11">
        <f t="shared" si="47"/>
        <v>0</v>
      </c>
      <c r="BF60" s="9"/>
      <c r="BG60" s="9"/>
      <c r="BH60" s="7">
        <f t="shared" si="35"/>
        <v>0</v>
      </c>
      <c r="BI60" s="7">
        <f t="shared" si="36"/>
        <v>0</v>
      </c>
      <c r="BJ60" s="11">
        <f t="shared" si="48"/>
        <v>0</v>
      </c>
      <c r="BK60" s="9"/>
      <c r="BL60" s="9"/>
      <c r="BM60" s="7">
        <f t="shared" si="37"/>
        <v>0</v>
      </c>
      <c r="BN60" s="7">
        <f t="shared" si="38"/>
        <v>0</v>
      </c>
      <c r="BO60" s="11">
        <f t="shared" si="49"/>
        <v>0</v>
      </c>
    </row>
    <row r="61" spans="1:67" x14ac:dyDescent="0.25">
      <c r="A61" t="s">
        <v>67</v>
      </c>
      <c r="B61" s="1">
        <v>1692</v>
      </c>
      <c r="C61">
        <v>215</v>
      </c>
      <c r="D61" s="7">
        <f t="shared" si="39"/>
        <v>1720</v>
      </c>
      <c r="E61" s="16"/>
      <c r="F61" s="19"/>
      <c r="G61" s="9"/>
      <c r="H61" s="7">
        <f t="shared" si="13"/>
        <v>0</v>
      </c>
      <c r="I61" s="7">
        <f t="shared" si="14"/>
        <v>0</v>
      </c>
      <c r="J61" s="11">
        <f t="shared" si="1"/>
        <v>0</v>
      </c>
      <c r="K61" s="9"/>
      <c r="L61" s="9"/>
      <c r="M61" s="7">
        <f t="shared" si="15"/>
        <v>0</v>
      </c>
      <c r="N61" s="7">
        <f t="shared" si="16"/>
        <v>0</v>
      </c>
      <c r="O61" s="11">
        <f t="shared" si="2"/>
        <v>0</v>
      </c>
      <c r="P61" s="9">
        <v>1</v>
      </c>
      <c r="Q61" s="9">
        <v>7.5</v>
      </c>
      <c r="R61" s="7">
        <f t="shared" si="17"/>
        <v>60</v>
      </c>
      <c r="S61" s="7">
        <f t="shared" si="18"/>
        <v>890</v>
      </c>
      <c r="T61" s="11">
        <f t="shared" si="40"/>
        <v>950</v>
      </c>
      <c r="U61" s="9">
        <v>2</v>
      </c>
      <c r="V61" s="9">
        <v>5.5</v>
      </c>
      <c r="W61" s="7">
        <f t="shared" si="19"/>
        <v>120</v>
      </c>
      <c r="X61" s="7">
        <f t="shared" si="20"/>
        <v>650</v>
      </c>
      <c r="Y61" s="22">
        <f t="shared" si="41"/>
        <v>770</v>
      </c>
      <c r="Z61" s="26">
        <f t="shared" si="21"/>
        <v>1720</v>
      </c>
      <c r="AA61" s="9"/>
      <c r="AB61" s="9"/>
      <c r="AC61" s="7">
        <f t="shared" si="22"/>
        <v>0</v>
      </c>
      <c r="AD61" s="7">
        <f t="shared" si="23"/>
        <v>0</v>
      </c>
      <c r="AE61" s="11">
        <f t="shared" si="42"/>
        <v>0</v>
      </c>
      <c r="AF61" s="9"/>
      <c r="AG61" s="9"/>
      <c r="AH61" s="7">
        <f t="shared" si="24"/>
        <v>0</v>
      </c>
      <c r="AI61" s="7">
        <f t="shared" si="25"/>
        <v>0</v>
      </c>
      <c r="AJ61" s="22">
        <f t="shared" si="43"/>
        <v>0</v>
      </c>
      <c r="AK61" s="26">
        <f t="shared" si="26"/>
        <v>0</v>
      </c>
      <c r="AL61" s="9"/>
      <c r="AM61" s="9"/>
      <c r="AN61" s="7">
        <f t="shared" si="27"/>
        <v>0</v>
      </c>
      <c r="AO61" s="7">
        <f t="shared" si="28"/>
        <v>0</v>
      </c>
      <c r="AP61" s="11">
        <f t="shared" si="44"/>
        <v>0</v>
      </c>
      <c r="AQ61" s="9"/>
      <c r="AR61" s="9"/>
      <c r="AS61" s="7">
        <f t="shared" si="29"/>
        <v>0</v>
      </c>
      <c r="AT61" s="7">
        <f t="shared" si="30"/>
        <v>0</v>
      </c>
      <c r="AU61" s="11">
        <f t="shared" si="45"/>
        <v>0</v>
      </c>
      <c r="AV61" s="9"/>
      <c r="AW61" s="9"/>
      <c r="AX61" s="7">
        <f t="shared" si="31"/>
        <v>0</v>
      </c>
      <c r="AY61" s="7">
        <f t="shared" si="32"/>
        <v>0</v>
      </c>
      <c r="AZ61" s="11">
        <f t="shared" si="46"/>
        <v>0</v>
      </c>
      <c r="BA61" s="9"/>
      <c r="BB61" s="9"/>
      <c r="BC61" s="7">
        <f t="shared" si="33"/>
        <v>0</v>
      </c>
      <c r="BD61" s="7">
        <f t="shared" si="34"/>
        <v>0</v>
      </c>
      <c r="BE61" s="11">
        <f t="shared" si="47"/>
        <v>0</v>
      </c>
      <c r="BF61" s="9"/>
      <c r="BG61" s="9"/>
      <c r="BH61" s="7">
        <f t="shared" si="35"/>
        <v>0</v>
      </c>
      <c r="BI61" s="7">
        <f t="shared" si="36"/>
        <v>0</v>
      </c>
      <c r="BJ61" s="11">
        <f t="shared" si="48"/>
        <v>0</v>
      </c>
      <c r="BK61" s="9"/>
      <c r="BL61" s="9"/>
      <c r="BM61" s="7">
        <f t="shared" si="37"/>
        <v>0</v>
      </c>
      <c r="BN61" s="7">
        <f t="shared" si="38"/>
        <v>0</v>
      </c>
      <c r="BO61" s="11">
        <f t="shared" si="49"/>
        <v>0</v>
      </c>
    </row>
    <row r="62" spans="1:67" x14ac:dyDescent="0.25">
      <c r="A62" t="s">
        <v>68</v>
      </c>
      <c r="B62" s="1">
        <v>1707</v>
      </c>
      <c r="C62">
        <v>200</v>
      </c>
      <c r="D62" s="7">
        <f t="shared" si="39"/>
        <v>390</v>
      </c>
      <c r="E62" s="16"/>
      <c r="F62" s="19"/>
      <c r="G62" s="9"/>
      <c r="H62" s="7">
        <f t="shared" si="13"/>
        <v>0</v>
      </c>
      <c r="I62" s="7">
        <f t="shared" si="14"/>
        <v>0</v>
      </c>
      <c r="J62" s="11">
        <f t="shared" si="1"/>
        <v>0</v>
      </c>
      <c r="K62" s="9"/>
      <c r="L62" s="9"/>
      <c r="M62" s="7">
        <f t="shared" si="15"/>
        <v>0</v>
      </c>
      <c r="N62" s="7">
        <f t="shared" si="16"/>
        <v>0</v>
      </c>
      <c r="O62" s="11">
        <f t="shared" si="2"/>
        <v>0</v>
      </c>
      <c r="P62" s="9"/>
      <c r="Q62" s="9"/>
      <c r="R62" s="7">
        <f t="shared" si="17"/>
        <v>0</v>
      </c>
      <c r="S62" s="7">
        <f t="shared" si="18"/>
        <v>0</v>
      </c>
      <c r="T62" s="11">
        <f t="shared" si="40"/>
        <v>0</v>
      </c>
      <c r="U62" s="9">
        <v>7</v>
      </c>
      <c r="V62" s="9"/>
      <c r="W62" s="7">
        <f t="shared" si="19"/>
        <v>390</v>
      </c>
      <c r="X62" s="7">
        <f t="shared" si="20"/>
        <v>0</v>
      </c>
      <c r="Y62" s="22">
        <f t="shared" si="41"/>
        <v>390</v>
      </c>
      <c r="Z62" s="26">
        <f t="shared" si="21"/>
        <v>390</v>
      </c>
      <c r="AA62" s="9"/>
      <c r="AB62" s="9"/>
      <c r="AC62" s="7">
        <f t="shared" si="22"/>
        <v>0</v>
      </c>
      <c r="AD62" s="7">
        <f t="shared" si="23"/>
        <v>0</v>
      </c>
      <c r="AE62" s="11">
        <f t="shared" si="42"/>
        <v>0</v>
      </c>
      <c r="AF62" s="9"/>
      <c r="AG62" s="9"/>
      <c r="AH62" s="7">
        <f t="shared" si="24"/>
        <v>0</v>
      </c>
      <c r="AI62" s="7">
        <f t="shared" si="25"/>
        <v>0</v>
      </c>
      <c r="AJ62" s="22">
        <f t="shared" si="43"/>
        <v>0</v>
      </c>
      <c r="AK62" s="26">
        <f t="shared" si="26"/>
        <v>0</v>
      </c>
      <c r="AL62" s="9"/>
      <c r="AM62" s="9"/>
      <c r="AN62" s="7">
        <f t="shared" si="27"/>
        <v>0</v>
      </c>
      <c r="AO62" s="7">
        <f t="shared" si="28"/>
        <v>0</v>
      </c>
      <c r="AP62" s="11">
        <f t="shared" si="44"/>
        <v>0</v>
      </c>
      <c r="AQ62" s="9"/>
      <c r="AR62" s="9"/>
      <c r="AS62" s="7">
        <f t="shared" si="29"/>
        <v>0</v>
      </c>
      <c r="AT62" s="7">
        <f t="shared" si="30"/>
        <v>0</v>
      </c>
      <c r="AU62" s="11">
        <f t="shared" si="45"/>
        <v>0</v>
      </c>
      <c r="AV62" s="9"/>
      <c r="AW62" s="9"/>
      <c r="AX62" s="7">
        <f t="shared" si="31"/>
        <v>0</v>
      </c>
      <c r="AY62" s="7">
        <f t="shared" si="32"/>
        <v>0</v>
      </c>
      <c r="AZ62" s="11">
        <f t="shared" si="46"/>
        <v>0</v>
      </c>
      <c r="BA62" s="9"/>
      <c r="BB62" s="9"/>
      <c r="BC62" s="7">
        <f t="shared" si="33"/>
        <v>0</v>
      </c>
      <c r="BD62" s="7">
        <f t="shared" si="34"/>
        <v>0</v>
      </c>
      <c r="BE62" s="11">
        <f t="shared" si="47"/>
        <v>0</v>
      </c>
      <c r="BF62" s="9"/>
      <c r="BG62" s="9"/>
      <c r="BH62" s="7">
        <f t="shared" si="35"/>
        <v>0</v>
      </c>
      <c r="BI62" s="7">
        <f t="shared" si="36"/>
        <v>0</v>
      </c>
      <c r="BJ62" s="11">
        <f t="shared" si="48"/>
        <v>0</v>
      </c>
      <c r="BK62" s="9"/>
      <c r="BL62" s="9"/>
      <c r="BM62" s="7">
        <f t="shared" si="37"/>
        <v>0</v>
      </c>
      <c r="BN62" s="7">
        <f t="shared" si="38"/>
        <v>0</v>
      </c>
      <c r="BO62" s="11">
        <f t="shared" si="49"/>
        <v>0</v>
      </c>
    </row>
    <row r="63" spans="1:67" x14ac:dyDescent="0.25">
      <c r="A63" t="s">
        <v>69</v>
      </c>
      <c r="B63" s="1">
        <v>1385</v>
      </c>
      <c r="C63">
        <v>230</v>
      </c>
      <c r="D63" s="7">
        <f t="shared" si="39"/>
        <v>9960</v>
      </c>
      <c r="E63" s="16"/>
      <c r="F63" s="19"/>
      <c r="G63" s="9"/>
      <c r="H63" s="7">
        <f t="shared" si="13"/>
        <v>0</v>
      </c>
      <c r="I63" s="7">
        <f t="shared" si="14"/>
        <v>0</v>
      </c>
      <c r="J63" s="11">
        <f t="shared" si="1"/>
        <v>0</v>
      </c>
      <c r="K63" s="9"/>
      <c r="L63" s="9"/>
      <c r="M63" s="7">
        <f t="shared" si="15"/>
        <v>0</v>
      </c>
      <c r="N63" s="7">
        <f t="shared" si="16"/>
        <v>0</v>
      </c>
      <c r="O63" s="11">
        <f t="shared" si="2"/>
        <v>0</v>
      </c>
      <c r="P63" s="9">
        <v>23</v>
      </c>
      <c r="Q63" s="9">
        <v>22.5</v>
      </c>
      <c r="R63" s="7">
        <f t="shared" si="17"/>
        <v>1450</v>
      </c>
      <c r="S63" s="7">
        <f t="shared" si="18"/>
        <v>2850</v>
      </c>
      <c r="T63" s="11">
        <f t="shared" si="40"/>
        <v>4300</v>
      </c>
      <c r="U63" s="9">
        <v>27.5</v>
      </c>
      <c r="V63" s="9">
        <v>31</v>
      </c>
      <c r="W63" s="7">
        <f t="shared" si="19"/>
        <v>1740</v>
      </c>
      <c r="X63" s="7">
        <f t="shared" si="20"/>
        <v>3920</v>
      </c>
      <c r="Y63" s="22">
        <f t="shared" si="41"/>
        <v>5660</v>
      </c>
      <c r="Z63" s="26">
        <f t="shared" si="21"/>
        <v>9960</v>
      </c>
      <c r="AA63" s="9"/>
      <c r="AB63" s="9"/>
      <c r="AC63" s="7">
        <f t="shared" si="22"/>
        <v>0</v>
      </c>
      <c r="AD63" s="7">
        <f t="shared" si="23"/>
        <v>0</v>
      </c>
      <c r="AE63" s="11">
        <f t="shared" si="42"/>
        <v>0</v>
      </c>
      <c r="AF63" s="9"/>
      <c r="AG63" s="9"/>
      <c r="AH63" s="7">
        <f t="shared" si="24"/>
        <v>0</v>
      </c>
      <c r="AI63" s="7">
        <f t="shared" si="25"/>
        <v>0</v>
      </c>
      <c r="AJ63" s="22">
        <f t="shared" si="43"/>
        <v>0</v>
      </c>
      <c r="AK63" s="26">
        <f t="shared" si="26"/>
        <v>0</v>
      </c>
      <c r="AL63" s="9"/>
      <c r="AM63" s="9"/>
      <c r="AN63" s="7">
        <f t="shared" si="27"/>
        <v>0</v>
      </c>
      <c r="AO63" s="7">
        <f t="shared" si="28"/>
        <v>0</v>
      </c>
      <c r="AP63" s="11">
        <f t="shared" si="44"/>
        <v>0</v>
      </c>
      <c r="AQ63" s="9"/>
      <c r="AR63" s="9"/>
      <c r="AS63" s="7">
        <f t="shared" si="29"/>
        <v>0</v>
      </c>
      <c r="AT63" s="7">
        <f t="shared" si="30"/>
        <v>0</v>
      </c>
      <c r="AU63" s="11">
        <f t="shared" si="45"/>
        <v>0</v>
      </c>
      <c r="AV63" s="9"/>
      <c r="AW63" s="9"/>
      <c r="AX63" s="7">
        <f t="shared" si="31"/>
        <v>0</v>
      </c>
      <c r="AY63" s="7">
        <f t="shared" si="32"/>
        <v>0</v>
      </c>
      <c r="AZ63" s="11">
        <f t="shared" si="46"/>
        <v>0</v>
      </c>
      <c r="BA63" s="9"/>
      <c r="BB63" s="9"/>
      <c r="BC63" s="7">
        <f t="shared" si="33"/>
        <v>0</v>
      </c>
      <c r="BD63" s="7">
        <f t="shared" si="34"/>
        <v>0</v>
      </c>
      <c r="BE63" s="11">
        <f t="shared" si="47"/>
        <v>0</v>
      </c>
      <c r="BF63" s="9"/>
      <c r="BG63" s="9"/>
      <c r="BH63" s="7">
        <f t="shared" si="35"/>
        <v>0</v>
      </c>
      <c r="BI63" s="7">
        <f t="shared" si="36"/>
        <v>0</v>
      </c>
      <c r="BJ63" s="11">
        <f t="shared" si="48"/>
        <v>0</v>
      </c>
      <c r="BK63" s="9"/>
      <c r="BL63" s="9"/>
      <c r="BM63" s="7">
        <f t="shared" si="37"/>
        <v>0</v>
      </c>
      <c r="BN63" s="7">
        <f t="shared" si="38"/>
        <v>0</v>
      </c>
      <c r="BO63" s="11">
        <f t="shared" si="49"/>
        <v>0</v>
      </c>
    </row>
    <row r="64" spans="1:67" x14ac:dyDescent="0.25">
      <c r="A64" t="s">
        <v>70</v>
      </c>
      <c r="B64" s="1">
        <v>1637</v>
      </c>
      <c r="C64">
        <v>230</v>
      </c>
      <c r="D64" s="7">
        <f t="shared" si="39"/>
        <v>5410</v>
      </c>
      <c r="E64" s="16"/>
      <c r="F64" s="19"/>
      <c r="G64" s="9"/>
      <c r="H64" s="7">
        <f t="shared" si="13"/>
        <v>0</v>
      </c>
      <c r="I64" s="7">
        <f t="shared" si="14"/>
        <v>0</v>
      </c>
      <c r="J64" s="11">
        <f t="shared" si="1"/>
        <v>0</v>
      </c>
      <c r="K64" s="9"/>
      <c r="L64" s="9"/>
      <c r="M64" s="7">
        <f t="shared" si="15"/>
        <v>0</v>
      </c>
      <c r="N64" s="7">
        <f t="shared" si="16"/>
        <v>0</v>
      </c>
      <c r="O64" s="11">
        <f t="shared" si="2"/>
        <v>0</v>
      </c>
      <c r="P64" s="9">
        <v>2</v>
      </c>
      <c r="Q64" s="9">
        <v>32.5</v>
      </c>
      <c r="R64" s="7">
        <f t="shared" si="17"/>
        <v>130</v>
      </c>
      <c r="S64" s="7">
        <f t="shared" si="18"/>
        <v>4110</v>
      </c>
      <c r="T64" s="11">
        <f t="shared" si="40"/>
        <v>4240</v>
      </c>
      <c r="U64" s="9">
        <v>1.5</v>
      </c>
      <c r="V64" s="9">
        <v>8.5</v>
      </c>
      <c r="W64" s="7">
        <f t="shared" si="19"/>
        <v>90</v>
      </c>
      <c r="X64" s="7">
        <f t="shared" si="20"/>
        <v>1080</v>
      </c>
      <c r="Y64" s="22">
        <f t="shared" si="41"/>
        <v>1170</v>
      </c>
      <c r="Z64" s="26">
        <f t="shared" si="21"/>
        <v>5410</v>
      </c>
      <c r="AA64" s="9"/>
      <c r="AB64" s="9"/>
      <c r="AC64" s="7">
        <f t="shared" si="22"/>
        <v>0</v>
      </c>
      <c r="AD64" s="7">
        <f t="shared" si="23"/>
        <v>0</v>
      </c>
      <c r="AE64" s="11">
        <f t="shared" si="42"/>
        <v>0</v>
      </c>
      <c r="AF64" s="9"/>
      <c r="AG64" s="9"/>
      <c r="AH64" s="7">
        <f t="shared" si="24"/>
        <v>0</v>
      </c>
      <c r="AI64" s="7">
        <f t="shared" si="25"/>
        <v>0</v>
      </c>
      <c r="AJ64" s="22">
        <f t="shared" si="43"/>
        <v>0</v>
      </c>
      <c r="AK64" s="26">
        <f t="shared" si="26"/>
        <v>0</v>
      </c>
      <c r="AL64" s="9"/>
      <c r="AM64" s="9"/>
      <c r="AN64" s="7">
        <f t="shared" si="27"/>
        <v>0</v>
      </c>
      <c r="AO64" s="7">
        <f t="shared" si="28"/>
        <v>0</v>
      </c>
      <c r="AP64" s="11">
        <f t="shared" si="44"/>
        <v>0</v>
      </c>
      <c r="AQ64" s="9"/>
      <c r="AR64" s="9"/>
      <c r="AS64" s="7">
        <f t="shared" si="29"/>
        <v>0</v>
      </c>
      <c r="AT64" s="7">
        <f t="shared" si="30"/>
        <v>0</v>
      </c>
      <c r="AU64" s="11">
        <f t="shared" si="45"/>
        <v>0</v>
      </c>
      <c r="AV64" s="9"/>
      <c r="AW64" s="9"/>
      <c r="AX64" s="7">
        <f t="shared" si="31"/>
        <v>0</v>
      </c>
      <c r="AY64" s="7">
        <f t="shared" si="32"/>
        <v>0</v>
      </c>
      <c r="AZ64" s="11">
        <f t="shared" si="46"/>
        <v>0</v>
      </c>
      <c r="BA64" s="9"/>
      <c r="BB64" s="9"/>
      <c r="BC64" s="7">
        <f t="shared" si="33"/>
        <v>0</v>
      </c>
      <c r="BD64" s="7">
        <f t="shared" si="34"/>
        <v>0</v>
      </c>
      <c r="BE64" s="11">
        <f t="shared" si="47"/>
        <v>0</v>
      </c>
      <c r="BF64" s="9"/>
      <c r="BG64" s="9"/>
      <c r="BH64" s="7">
        <f t="shared" si="35"/>
        <v>0</v>
      </c>
      <c r="BI64" s="7">
        <f t="shared" si="36"/>
        <v>0</v>
      </c>
      <c r="BJ64" s="11">
        <f t="shared" si="48"/>
        <v>0</v>
      </c>
      <c r="BK64" s="9"/>
      <c r="BL64" s="9"/>
      <c r="BM64" s="7">
        <f t="shared" si="37"/>
        <v>0</v>
      </c>
      <c r="BN64" s="7">
        <f t="shared" si="38"/>
        <v>0</v>
      </c>
      <c r="BO64" s="11">
        <f t="shared" si="49"/>
        <v>0</v>
      </c>
    </row>
    <row r="65" spans="1:67" x14ac:dyDescent="0.25">
      <c r="A65" t="s">
        <v>71</v>
      </c>
      <c r="B65" s="1">
        <v>1543</v>
      </c>
      <c r="C65">
        <v>245</v>
      </c>
      <c r="D65" s="7">
        <f t="shared" si="39"/>
        <v>130</v>
      </c>
      <c r="E65" s="16"/>
      <c r="F65" s="19"/>
      <c r="G65" s="9"/>
      <c r="H65" s="7">
        <f t="shared" si="13"/>
        <v>0</v>
      </c>
      <c r="I65" s="7">
        <f t="shared" si="14"/>
        <v>0</v>
      </c>
      <c r="J65" s="11">
        <f t="shared" si="1"/>
        <v>0</v>
      </c>
      <c r="K65" s="9"/>
      <c r="L65" s="9"/>
      <c r="M65" s="7">
        <f t="shared" si="15"/>
        <v>0</v>
      </c>
      <c r="N65" s="7">
        <f t="shared" si="16"/>
        <v>0</v>
      </c>
      <c r="O65" s="11">
        <f t="shared" si="2"/>
        <v>0</v>
      </c>
      <c r="P65" s="9">
        <v>2</v>
      </c>
      <c r="Q65" s="9"/>
      <c r="R65" s="7">
        <f t="shared" si="17"/>
        <v>130</v>
      </c>
      <c r="S65" s="7">
        <f t="shared" si="18"/>
        <v>0</v>
      </c>
      <c r="T65" s="11">
        <f t="shared" si="40"/>
        <v>130</v>
      </c>
      <c r="U65" s="9"/>
      <c r="V65" s="9"/>
      <c r="W65" s="7">
        <f t="shared" si="19"/>
        <v>0</v>
      </c>
      <c r="X65" s="7">
        <f t="shared" si="20"/>
        <v>0</v>
      </c>
      <c r="Y65" s="22">
        <f t="shared" si="41"/>
        <v>0</v>
      </c>
      <c r="Z65" s="26">
        <f t="shared" si="21"/>
        <v>130</v>
      </c>
      <c r="AA65" s="9"/>
      <c r="AB65" s="9"/>
      <c r="AC65" s="7">
        <f t="shared" si="22"/>
        <v>0</v>
      </c>
      <c r="AD65" s="7">
        <f t="shared" si="23"/>
        <v>0</v>
      </c>
      <c r="AE65" s="11">
        <f t="shared" si="42"/>
        <v>0</v>
      </c>
      <c r="AF65" s="9"/>
      <c r="AG65" s="9"/>
      <c r="AH65" s="7">
        <f t="shared" si="24"/>
        <v>0</v>
      </c>
      <c r="AI65" s="7">
        <f t="shared" si="25"/>
        <v>0</v>
      </c>
      <c r="AJ65" s="22">
        <f t="shared" si="43"/>
        <v>0</v>
      </c>
      <c r="AK65" s="26">
        <f t="shared" si="26"/>
        <v>0</v>
      </c>
      <c r="AL65" s="9"/>
      <c r="AM65" s="9"/>
      <c r="AN65" s="7">
        <f t="shared" si="27"/>
        <v>0</v>
      </c>
      <c r="AO65" s="7">
        <f t="shared" si="28"/>
        <v>0</v>
      </c>
      <c r="AP65" s="11">
        <f t="shared" si="44"/>
        <v>0</v>
      </c>
      <c r="AQ65" s="9"/>
      <c r="AR65" s="9"/>
      <c r="AS65" s="7">
        <f t="shared" si="29"/>
        <v>0</v>
      </c>
      <c r="AT65" s="7">
        <f t="shared" si="30"/>
        <v>0</v>
      </c>
      <c r="AU65" s="11">
        <f t="shared" si="45"/>
        <v>0</v>
      </c>
      <c r="AV65" s="9"/>
      <c r="AW65" s="9"/>
      <c r="AX65" s="7">
        <f t="shared" si="31"/>
        <v>0</v>
      </c>
      <c r="AY65" s="7">
        <f t="shared" si="32"/>
        <v>0</v>
      </c>
      <c r="AZ65" s="11">
        <f t="shared" si="46"/>
        <v>0</v>
      </c>
      <c r="BA65" s="9"/>
      <c r="BB65" s="9"/>
      <c r="BC65" s="7">
        <f t="shared" si="33"/>
        <v>0</v>
      </c>
      <c r="BD65" s="7">
        <f t="shared" si="34"/>
        <v>0</v>
      </c>
      <c r="BE65" s="11">
        <f t="shared" si="47"/>
        <v>0</v>
      </c>
      <c r="BF65" s="9"/>
      <c r="BG65" s="9"/>
      <c r="BH65" s="7">
        <f t="shared" si="35"/>
        <v>0</v>
      </c>
      <c r="BI65" s="7">
        <f t="shared" si="36"/>
        <v>0</v>
      </c>
      <c r="BJ65" s="11">
        <f t="shared" si="48"/>
        <v>0</v>
      </c>
      <c r="BK65" s="9"/>
      <c r="BL65" s="9"/>
      <c r="BM65" s="7">
        <f t="shared" si="37"/>
        <v>0</v>
      </c>
      <c r="BN65" s="7">
        <f t="shared" si="38"/>
        <v>0</v>
      </c>
      <c r="BO65" s="11">
        <f t="shared" si="49"/>
        <v>0</v>
      </c>
    </row>
    <row r="66" spans="1:67" x14ac:dyDescent="0.25">
      <c r="A66" t="s">
        <v>72</v>
      </c>
      <c r="B66" s="1">
        <v>1682</v>
      </c>
      <c r="C66">
        <v>245</v>
      </c>
      <c r="D66" s="7">
        <f t="shared" si="39"/>
        <v>470</v>
      </c>
      <c r="E66" s="16"/>
      <c r="F66" s="19"/>
      <c r="G66" s="9"/>
      <c r="H66" s="7">
        <f t="shared" si="13"/>
        <v>0</v>
      </c>
      <c r="I66" s="7">
        <f t="shared" si="14"/>
        <v>0</v>
      </c>
      <c r="J66" s="11">
        <f t="shared" si="1"/>
        <v>0</v>
      </c>
      <c r="K66" s="9"/>
      <c r="L66" s="9"/>
      <c r="M66" s="7">
        <f t="shared" si="15"/>
        <v>0</v>
      </c>
      <c r="N66" s="7">
        <f t="shared" si="16"/>
        <v>0</v>
      </c>
      <c r="O66" s="11">
        <f t="shared" si="2"/>
        <v>0</v>
      </c>
      <c r="P66" s="9">
        <v>4</v>
      </c>
      <c r="Q66" s="9"/>
      <c r="R66" s="7">
        <f t="shared" si="17"/>
        <v>270</v>
      </c>
      <c r="S66" s="7">
        <f t="shared" si="18"/>
        <v>0</v>
      </c>
      <c r="T66" s="11">
        <f t="shared" si="40"/>
        <v>270</v>
      </c>
      <c r="U66" s="9">
        <v>3</v>
      </c>
      <c r="V66" s="9"/>
      <c r="W66" s="7">
        <f t="shared" si="19"/>
        <v>200</v>
      </c>
      <c r="X66" s="7">
        <f t="shared" si="20"/>
        <v>0</v>
      </c>
      <c r="Y66" s="22">
        <f t="shared" si="41"/>
        <v>200</v>
      </c>
      <c r="Z66" s="26">
        <f t="shared" si="21"/>
        <v>470</v>
      </c>
      <c r="AA66" s="9"/>
      <c r="AB66" s="9"/>
      <c r="AC66" s="7">
        <f t="shared" si="22"/>
        <v>0</v>
      </c>
      <c r="AD66" s="7">
        <f t="shared" si="23"/>
        <v>0</v>
      </c>
      <c r="AE66" s="11">
        <f t="shared" si="42"/>
        <v>0</v>
      </c>
      <c r="AF66" s="9"/>
      <c r="AG66" s="9"/>
      <c r="AH66" s="7">
        <f t="shared" si="24"/>
        <v>0</v>
      </c>
      <c r="AI66" s="7">
        <f t="shared" si="25"/>
        <v>0</v>
      </c>
      <c r="AJ66" s="22">
        <f t="shared" si="43"/>
        <v>0</v>
      </c>
      <c r="AK66" s="26">
        <f t="shared" si="26"/>
        <v>0</v>
      </c>
      <c r="AL66" s="9"/>
      <c r="AM66" s="9"/>
      <c r="AN66" s="7">
        <f t="shared" si="27"/>
        <v>0</v>
      </c>
      <c r="AO66" s="7">
        <f t="shared" si="28"/>
        <v>0</v>
      </c>
      <c r="AP66" s="11">
        <f t="shared" si="44"/>
        <v>0</v>
      </c>
      <c r="AQ66" s="9"/>
      <c r="AR66" s="9"/>
      <c r="AS66" s="7">
        <f t="shared" si="29"/>
        <v>0</v>
      </c>
      <c r="AT66" s="7">
        <f t="shared" si="30"/>
        <v>0</v>
      </c>
      <c r="AU66" s="11">
        <f t="shared" si="45"/>
        <v>0</v>
      </c>
      <c r="AV66" s="9"/>
      <c r="AW66" s="9"/>
      <c r="AX66" s="7">
        <f t="shared" si="31"/>
        <v>0</v>
      </c>
      <c r="AY66" s="7">
        <f t="shared" si="32"/>
        <v>0</v>
      </c>
      <c r="AZ66" s="11">
        <f t="shared" si="46"/>
        <v>0</v>
      </c>
      <c r="BA66" s="9"/>
      <c r="BB66" s="9"/>
      <c r="BC66" s="7">
        <f t="shared" si="33"/>
        <v>0</v>
      </c>
      <c r="BD66" s="7">
        <f t="shared" si="34"/>
        <v>0</v>
      </c>
      <c r="BE66" s="11">
        <f t="shared" si="47"/>
        <v>0</v>
      </c>
      <c r="BF66" s="9"/>
      <c r="BG66" s="9"/>
      <c r="BH66" s="7">
        <f t="shared" si="35"/>
        <v>0</v>
      </c>
      <c r="BI66" s="7">
        <f t="shared" si="36"/>
        <v>0</v>
      </c>
      <c r="BJ66" s="11">
        <f t="shared" si="48"/>
        <v>0</v>
      </c>
      <c r="BK66" s="9"/>
      <c r="BL66" s="9"/>
      <c r="BM66" s="7">
        <f t="shared" si="37"/>
        <v>0</v>
      </c>
      <c r="BN66" s="7">
        <f t="shared" si="38"/>
        <v>0</v>
      </c>
      <c r="BO66" s="11">
        <f t="shared" si="49"/>
        <v>0</v>
      </c>
    </row>
    <row r="67" spans="1:67" x14ac:dyDescent="0.25">
      <c r="A67" t="s">
        <v>73</v>
      </c>
      <c r="B67" s="1">
        <v>1678</v>
      </c>
      <c r="C67">
        <v>215</v>
      </c>
      <c r="D67" s="7">
        <f t="shared" si="39"/>
        <v>1300</v>
      </c>
      <c r="E67" s="16"/>
      <c r="F67" s="19"/>
      <c r="G67" s="9"/>
      <c r="H67" s="7">
        <f t="shared" si="13"/>
        <v>0</v>
      </c>
      <c r="I67" s="7">
        <f t="shared" si="14"/>
        <v>0</v>
      </c>
      <c r="J67" s="11">
        <f t="shared" si="1"/>
        <v>0</v>
      </c>
      <c r="K67" s="9"/>
      <c r="L67" s="9"/>
      <c r="M67" s="7">
        <f t="shared" si="15"/>
        <v>0</v>
      </c>
      <c r="N67" s="7">
        <f t="shared" si="16"/>
        <v>0</v>
      </c>
      <c r="O67" s="11">
        <f t="shared" si="2"/>
        <v>0</v>
      </c>
      <c r="P67" s="9"/>
      <c r="Q67" s="9"/>
      <c r="R67" s="7">
        <f t="shared" si="17"/>
        <v>0</v>
      </c>
      <c r="S67" s="7">
        <f t="shared" si="18"/>
        <v>0</v>
      </c>
      <c r="T67" s="11">
        <f t="shared" si="40"/>
        <v>0</v>
      </c>
      <c r="U67" s="9">
        <v>7</v>
      </c>
      <c r="V67" s="9">
        <v>7.5</v>
      </c>
      <c r="W67" s="7">
        <f t="shared" si="19"/>
        <v>410</v>
      </c>
      <c r="X67" s="7">
        <f t="shared" si="20"/>
        <v>890</v>
      </c>
      <c r="Y67" s="22">
        <f t="shared" si="41"/>
        <v>1300</v>
      </c>
      <c r="Z67" s="26">
        <f t="shared" si="21"/>
        <v>1300</v>
      </c>
      <c r="AA67" s="9"/>
      <c r="AB67" s="9"/>
      <c r="AC67" s="7">
        <f t="shared" si="22"/>
        <v>0</v>
      </c>
      <c r="AD67" s="7">
        <f t="shared" si="23"/>
        <v>0</v>
      </c>
      <c r="AE67" s="11">
        <f t="shared" si="42"/>
        <v>0</v>
      </c>
      <c r="AF67" s="9"/>
      <c r="AG67" s="9"/>
      <c r="AH67" s="7">
        <f t="shared" si="24"/>
        <v>0</v>
      </c>
      <c r="AI67" s="7">
        <f t="shared" si="25"/>
        <v>0</v>
      </c>
      <c r="AJ67" s="22">
        <f t="shared" si="43"/>
        <v>0</v>
      </c>
      <c r="AK67" s="26">
        <f t="shared" si="26"/>
        <v>0</v>
      </c>
      <c r="AL67" s="9"/>
      <c r="AM67" s="9"/>
      <c r="AN67" s="7">
        <f t="shared" si="27"/>
        <v>0</v>
      </c>
      <c r="AO67" s="7">
        <f t="shared" si="28"/>
        <v>0</v>
      </c>
      <c r="AP67" s="11">
        <f t="shared" si="44"/>
        <v>0</v>
      </c>
      <c r="AQ67" s="9"/>
      <c r="AR67" s="9"/>
      <c r="AS67" s="7">
        <f t="shared" si="29"/>
        <v>0</v>
      </c>
      <c r="AT67" s="7">
        <f t="shared" si="30"/>
        <v>0</v>
      </c>
      <c r="AU67" s="11">
        <f t="shared" si="45"/>
        <v>0</v>
      </c>
      <c r="AV67" s="9"/>
      <c r="AW67" s="9"/>
      <c r="AX67" s="7">
        <f t="shared" si="31"/>
        <v>0</v>
      </c>
      <c r="AY67" s="7">
        <f t="shared" si="32"/>
        <v>0</v>
      </c>
      <c r="AZ67" s="11">
        <f t="shared" si="46"/>
        <v>0</v>
      </c>
      <c r="BA67" s="9"/>
      <c r="BB67" s="9"/>
      <c r="BC67" s="7">
        <f t="shared" si="33"/>
        <v>0</v>
      </c>
      <c r="BD67" s="7">
        <f t="shared" si="34"/>
        <v>0</v>
      </c>
      <c r="BE67" s="11">
        <f t="shared" si="47"/>
        <v>0</v>
      </c>
      <c r="BF67" s="9"/>
      <c r="BG67" s="9"/>
      <c r="BH67" s="7">
        <f t="shared" si="35"/>
        <v>0</v>
      </c>
      <c r="BI67" s="7">
        <f t="shared" si="36"/>
        <v>0</v>
      </c>
      <c r="BJ67" s="11">
        <f t="shared" si="48"/>
        <v>0</v>
      </c>
      <c r="BK67" s="9"/>
      <c r="BL67" s="9"/>
      <c r="BM67" s="7">
        <f t="shared" si="37"/>
        <v>0</v>
      </c>
      <c r="BN67" s="7">
        <f t="shared" si="38"/>
        <v>0</v>
      </c>
      <c r="BO67" s="11">
        <f t="shared" si="49"/>
        <v>0</v>
      </c>
    </row>
    <row r="68" spans="1:67" x14ac:dyDescent="0.25">
      <c r="A68" t="s">
        <v>74</v>
      </c>
      <c r="B68" s="1">
        <v>1647</v>
      </c>
      <c r="C68">
        <v>215</v>
      </c>
      <c r="D68" s="7">
        <f t="shared" si="39"/>
        <v>1180</v>
      </c>
      <c r="E68" s="16"/>
      <c r="F68" s="19"/>
      <c r="G68" s="9"/>
      <c r="H68" s="7">
        <f t="shared" si="13"/>
        <v>0</v>
      </c>
      <c r="I68" s="7">
        <f t="shared" si="14"/>
        <v>0</v>
      </c>
      <c r="J68" s="11">
        <f t="shared" si="1"/>
        <v>0</v>
      </c>
      <c r="K68" s="9"/>
      <c r="L68" s="9"/>
      <c r="M68" s="7">
        <f t="shared" si="15"/>
        <v>0</v>
      </c>
      <c r="N68" s="7">
        <f t="shared" si="16"/>
        <v>0</v>
      </c>
      <c r="O68" s="11">
        <f t="shared" si="2"/>
        <v>0</v>
      </c>
      <c r="P68" s="9"/>
      <c r="Q68" s="9"/>
      <c r="R68" s="7">
        <f t="shared" si="17"/>
        <v>0</v>
      </c>
      <c r="S68" s="7">
        <f t="shared" si="18"/>
        <v>0</v>
      </c>
      <c r="T68" s="11">
        <f t="shared" si="40"/>
        <v>0</v>
      </c>
      <c r="U68" s="9">
        <v>1</v>
      </c>
      <c r="V68" s="9">
        <v>9.5</v>
      </c>
      <c r="W68" s="7">
        <f t="shared" si="19"/>
        <v>60</v>
      </c>
      <c r="X68" s="7">
        <f t="shared" si="20"/>
        <v>1120</v>
      </c>
      <c r="Y68" s="22">
        <f t="shared" si="41"/>
        <v>1180</v>
      </c>
      <c r="Z68" s="26">
        <f t="shared" si="21"/>
        <v>1180</v>
      </c>
      <c r="AA68" s="9"/>
      <c r="AB68" s="9"/>
      <c r="AC68" s="7">
        <f t="shared" si="22"/>
        <v>0</v>
      </c>
      <c r="AD68" s="7">
        <f t="shared" si="23"/>
        <v>0</v>
      </c>
      <c r="AE68" s="11">
        <f t="shared" si="42"/>
        <v>0</v>
      </c>
      <c r="AF68" s="9"/>
      <c r="AG68" s="9"/>
      <c r="AH68" s="7">
        <f t="shared" si="24"/>
        <v>0</v>
      </c>
      <c r="AI68" s="7">
        <f t="shared" si="25"/>
        <v>0</v>
      </c>
      <c r="AJ68" s="22">
        <f t="shared" si="43"/>
        <v>0</v>
      </c>
      <c r="AK68" s="26">
        <f t="shared" si="26"/>
        <v>0</v>
      </c>
      <c r="AL68" s="9"/>
      <c r="AM68" s="9"/>
      <c r="AN68" s="7">
        <f t="shared" si="27"/>
        <v>0</v>
      </c>
      <c r="AO68" s="7">
        <f t="shared" si="28"/>
        <v>0</v>
      </c>
      <c r="AP68" s="11">
        <f t="shared" si="44"/>
        <v>0</v>
      </c>
      <c r="AQ68" s="9"/>
      <c r="AR68" s="9"/>
      <c r="AS68" s="7">
        <f t="shared" si="29"/>
        <v>0</v>
      </c>
      <c r="AT68" s="7">
        <f t="shared" si="30"/>
        <v>0</v>
      </c>
      <c r="AU68" s="11">
        <f t="shared" si="45"/>
        <v>0</v>
      </c>
      <c r="AV68" s="9"/>
      <c r="AW68" s="9"/>
      <c r="AX68" s="7">
        <f t="shared" si="31"/>
        <v>0</v>
      </c>
      <c r="AY68" s="7">
        <f t="shared" si="32"/>
        <v>0</v>
      </c>
      <c r="AZ68" s="11">
        <f t="shared" si="46"/>
        <v>0</v>
      </c>
      <c r="BA68" s="9"/>
      <c r="BB68" s="9"/>
      <c r="BC68" s="7">
        <f t="shared" si="33"/>
        <v>0</v>
      </c>
      <c r="BD68" s="7">
        <f t="shared" si="34"/>
        <v>0</v>
      </c>
      <c r="BE68" s="11">
        <f t="shared" si="47"/>
        <v>0</v>
      </c>
      <c r="BF68" s="9"/>
      <c r="BG68" s="9"/>
      <c r="BH68" s="7">
        <f t="shared" si="35"/>
        <v>0</v>
      </c>
      <c r="BI68" s="7">
        <f t="shared" si="36"/>
        <v>0</v>
      </c>
      <c r="BJ68" s="11">
        <f t="shared" si="48"/>
        <v>0</v>
      </c>
      <c r="BK68" s="9"/>
      <c r="BL68" s="9"/>
      <c r="BM68" s="7">
        <f t="shared" si="37"/>
        <v>0</v>
      </c>
      <c r="BN68" s="7">
        <f t="shared" si="38"/>
        <v>0</v>
      </c>
      <c r="BO68" s="11">
        <f t="shared" si="49"/>
        <v>0</v>
      </c>
    </row>
    <row r="69" spans="1:67" x14ac:dyDescent="0.25">
      <c r="A69" t="s">
        <v>75</v>
      </c>
      <c r="B69" s="1">
        <v>1102</v>
      </c>
      <c r="C69">
        <v>230</v>
      </c>
      <c r="D69" s="7">
        <f t="shared" ref="D69:D102" si="50">J69+O69+T69+Y69+AE69+AJ69+AP69+AU69+AZ69+BE69+BJ69+BO69</f>
        <v>470</v>
      </c>
      <c r="E69" s="16"/>
      <c r="F69" s="19"/>
      <c r="G69" s="9"/>
      <c r="H69" s="7">
        <f t="shared" si="13"/>
        <v>0</v>
      </c>
      <c r="I69" s="7">
        <f t="shared" si="14"/>
        <v>0</v>
      </c>
      <c r="J69" s="11">
        <f t="shared" ref="J69:J102" si="51">ROUND(H69+I69,-1)</f>
        <v>0</v>
      </c>
      <c r="K69" s="9"/>
      <c r="L69" s="9"/>
      <c r="M69" s="7">
        <f t="shared" si="15"/>
        <v>0</v>
      </c>
      <c r="N69" s="7">
        <f t="shared" si="16"/>
        <v>0</v>
      </c>
      <c r="O69" s="11">
        <f t="shared" ref="O69:O102" si="52">ROUND(M69+N69,-1)</f>
        <v>0</v>
      </c>
      <c r="P69" s="9">
        <v>7.5</v>
      </c>
      <c r="Q69" s="9"/>
      <c r="R69" s="7">
        <f t="shared" si="17"/>
        <v>470</v>
      </c>
      <c r="S69" s="7">
        <f t="shared" si="18"/>
        <v>0</v>
      </c>
      <c r="T69" s="11">
        <f t="shared" ref="T69:T100" si="53">ROUND(R69+S69,-1)</f>
        <v>470</v>
      </c>
      <c r="U69" s="9"/>
      <c r="V69" s="9"/>
      <c r="W69" s="7">
        <f t="shared" si="19"/>
        <v>0</v>
      </c>
      <c r="X69" s="7">
        <f t="shared" si="20"/>
        <v>0</v>
      </c>
      <c r="Y69" s="22">
        <f t="shared" ref="Y69:Y100" si="54">ROUND(W69+X69,-1)</f>
        <v>0</v>
      </c>
      <c r="Z69" s="26">
        <f t="shared" si="21"/>
        <v>470</v>
      </c>
      <c r="AA69" s="9"/>
      <c r="AB69" s="9"/>
      <c r="AC69" s="7">
        <f t="shared" si="22"/>
        <v>0</v>
      </c>
      <c r="AD69" s="7">
        <f t="shared" si="23"/>
        <v>0</v>
      </c>
      <c r="AE69" s="11">
        <f t="shared" ref="AE69:AE100" si="55">ROUND(AC69+AD69,-1)</f>
        <v>0</v>
      </c>
      <c r="AF69" s="9"/>
      <c r="AG69" s="9"/>
      <c r="AH69" s="7">
        <f t="shared" si="24"/>
        <v>0</v>
      </c>
      <c r="AI69" s="7">
        <f t="shared" si="25"/>
        <v>0</v>
      </c>
      <c r="AJ69" s="22">
        <f t="shared" ref="AJ69:AJ100" si="56">ROUND(AH69+AI69,-1)</f>
        <v>0</v>
      </c>
      <c r="AK69" s="26">
        <f t="shared" si="26"/>
        <v>0</v>
      </c>
      <c r="AL69" s="9"/>
      <c r="AM69" s="9"/>
      <c r="AN69" s="7">
        <f t="shared" si="27"/>
        <v>0</v>
      </c>
      <c r="AO69" s="7">
        <f t="shared" si="28"/>
        <v>0</v>
      </c>
      <c r="AP69" s="11">
        <f t="shared" ref="AP69:AP100" si="57">ROUND(AN69+AO69,-1)</f>
        <v>0</v>
      </c>
      <c r="AQ69" s="9"/>
      <c r="AR69" s="9"/>
      <c r="AS69" s="7">
        <f t="shared" si="29"/>
        <v>0</v>
      </c>
      <c r="AT69" s="7">
        <f t="shared" si="30"/>
        <v>0</v>
      </c>
      <c r="AU69" s="11">
        <f t="shared" ref="AU69:AU100" si="58">ROUND(AS69+AT69,-1)</f>
        <v>0</v>
      </c>
      <c r="AV69" s="9"/>
      <c r="AW69" s="9"/>
      <c r="AX69" s="7">
        <f t="shared" si="31"/>
        <v>0</v>
      </c>
      <c r="AY69" s="7">
        <f t="shared" si="32"/>
        <v>0</v>
      </c>
      <c r="AZ69" s="11">
        <f t="shared" ref="AZ69:AZ100" si="59">ROUND(AX69+AY69,-1)</f>
        <v>0</v>
      </c>
      <c r="BA69" s="9"/>
      <c r="BB69" s="9"/>
      <c r="BC69" s="7">
        <f t="shared" si="33"/>
        <v>0</v>
      </c>
      <c r="BD69" s="7">
        <f t="shared" si="34"/>
        <v>0</v>
      </c>
      <c r="BE69" s="11">
        <f t="shared" ref="BE69:BE100" si="60">ROUND(BC69+BD69,-1)</f>
        <v>0</v>
      </c>
      <c r="BF69" s="9"/>
      <c r="BG69" s="9"/>
      <c r="BH69" s="7">
        <f t="shared" si="35"/>
        <v>0</v>
      </c>
      <c r="BI69" s="7">
        <f t="shared" si="36"/>
        <v>0</v>
      </c>
      <c r="BJ69" s="11">
        <f t="shared" ref="BJ69:BJ100" si="61">ROUND(BH69+BI69,-1)</f>
        <v>0</v>
      </c>
      <c r="BK69" s="9"/>
      <c r="BL69" s="9"/>
      <c r="BM69" s="7">
        <f t="shared" si="37"/>
        <v>0</v>
      </c>
      <c r="BN69" s="7">
        <f t="shared" si="38"/>
        <v>0</v>
      </c>
      <c r="BO69" s="11">
        <f t="shared" ref="BO69:BO100" si="62">ROUND(BM69+BN69,-1)</f>
        <v>0</v>
      </c>
    </row>
    <row r="70" spans="1:67" x14ac:dyDescent="0.25">
      <c r="A70" t="s">
        <v>76</v>
      </c>
      <c r="B70" s="1">
        <v>1718</v>
      </c>
      <c r="C70">
        <v>200</v>
      </c>
      <c r="D70" s="7">
        <f t="shared" si="50"/>
        <v>9600</v>
      </c>
      <c r="E70" s="16"/>
      <c r="F70" s="19"/>
      <c r="G70" s="9"/>
      <c r="H70" s="7">
        <f t="shared" ref="H70:H102" si="63">ROUND($C70*(1+$B$3)*F70*0.25,-1)</f>
        <v>0</v>
      </c>
      <c r="I70" s="7">
        <f t="shared" ref="I70:I102" si="64">ROUND($C70*(1+$B$3)*G70*0.5,-1)</f>
        <v>0</v>
      </c>
      <c r="J70" s="11">
        <f t="shared" si="51"/>
        <v>0</v>
      </c>
      <c r="K70" s="9"/>
      <c r="L70" s="9"/>
      <c r="M70" s="7">
        <f t="shared" ref="M70:M102" si="65">ROUND($C70*(1+$B$3)*K70*0.25,-1)</f>
        <v>0</v>
      </c>
      <c r="N70" s="7">
        <f t="shared" ref="N70:N102" si="66">ROUND($C70*(1+$B$3)*L70*0.5,-1)</f>
        <v>0</v>
      </c>
      <c r="O70" s="11">
        <f t="shared" si="52"/>
        <v>0</v>
      </c>
      <c r="P70" s="9">
        <v>7.5</v>
      </c>
      <c r="Q70" s="9">
        <v>48.5</v>
      </c>
      <c r="R70" s="7">
        <f t="shared" ref="R70:R102" si="67">ROUND($C70*(1+$B$3)*P70*0.25,-1)</f>
        <v>410</v>
      </c>
      <c r="S70" s="7">
        <f t="shared" ref="S70:S102" si="68">ROUND($C70*(1+$B$3)*Q70*0.5,-1)</f>
        <v>5340</v>
      </c>
      <c r="T70" s="11">
        <f t="shared" si="53"/>
        <v>5750</v>
      </c>
      <c r="U70" s="9">
        <v>8</v>
      </c>
      <c r="V70" s="9">
        <v>31</v>
      </c>
      <c r="W70" s="7">
        <f t="shared" ref="W70:W102" si="69">ROUND($C70*(1+$B$3)*U70*0.25,-1)</f>
        <v>440</v>
      </c>
      <c r="X70" s="7">
        <f t="shared" ref="X70:X102" si="70">ROUND($C70*(1+$B$3)*V70*0.5,-1)</f>
        <v>3410</v>
      </c>
      <c r="Y70" s="22">
        <f t="shared" si="54"/>
        <v>3850</v>
      </c>
      <c r="Z70" s="26">
        <f t="shared" ref="Z70:Z102" si="71">T70+Y70</f>
        <v>9600</v>
      </c>
      <c r="AA70" s="9"/>
      <c r="AB70" s="9"/>
      <c r="AC70" s="7">
        <f t="shared" ref="AC70:AC102" si="72">ROUND($C70*(1+$B$3)*AA70*0.25,-1)</f>
        <v>0</v>
      </c>
      <c r="AD70" s="7">
        <f t="shared" ref="AD70:AD102" si="73">ROUND($C70*(1+$B$3)*AB70*0.5,-1)</f>
        <v>0</v>
      </c>
      <c r="AE70" s="11">
        <f t="shared" si="55"/>
        <v>0</v>
      </c>
      <c r="AF70" s="9"/>
      <c r="AG70" s="9"/>
      <c r="AH70" s="7">
        <f t="shared" ref="AH70:AH102" si="74">ROUND($C70*(1+$B$3)*AF70*0.25,-1)</f>
        <v>0</v>
      </c>
      <c r="AI70" s="7">
        <f t="shared" ref="AI70:AI102" si="75">ROUND($C70*(1+$B$3)*AG70*0.5,-1)</f>
        <v>0</v>
      </c>
      <c r="AJ70" s="22">
        <f t="shared" si="56"/>
        <v>0</v>
      </c>
      <c r="AK70" s="26">
        <f t="shared" ref="AK70:AK102" si="76">AE70+AJ70</f>
        <v>0</v>
      </c>
      <c r="AL70" s="9"/>
      <c r="AM70" s="9"/>
      <c r="AN70" s="7">
        <f t="shared" ref="AN70:AN102" si="77">ROUND($C70*(1+$B$3)*AL70*0.25,-1)</f>
        <v>0</v>
      </c>
      <c r="AO70" s="7">
        <f t="shared" ref="AO70:AO102" si="78">ROUND($C70*(1+$B$3)*AM70*0.5,-1)</f>
        <v>0</v>
      </c>
      <c r="AP70" s="11">
        <f t="shared" si="57"/>
        <v>0</v>
      </c>
      <c r="AQ70" s="9"/>
      <c r="AR70" s="9"/>
      <c r="AS70" s="7">
        <f t="shared" ref="AS70:AS102" si="79">ROUND($C70*(1+$B$3)*AQ70*0.25,-1)</f>
        <v>0</v>
      </c>
      <c r="AT70" s="7">
        <f t="shared" ref="AT70:AT102" si="80">ROUND($C70*(1+$B$3)*AR70*0.5,-1)</f>
        <v>0</v>
      </c>
      <c r="AU70" s="11">
        <f t="shared" si="58"/>
        <v>0</v>
      </c>
      <c r="AV70" s="9"/>
      <c r="AW70" s="9"/>
      <c r="AX70" s="7">
        <f t="shared" ref="AX70:AX102" si="81">ROUND($C70*(1+$B$3)*AV70*0.25,-1)</f>
        <v>0</v>
      </c>
      <c r="AY70" s="7">
        <f t="shared" ref="AY70:AY102" si="82">ROUND($C70*(1+$B$3)*AW70*0.5,-1)</f>
        <v>0</v>
      </c>
      <c r="AZ70" s="11">
        <f t="shared" si="59"/>
        <v>0</v>
      </c>
      <c r="BA70" s="9"/>
      <c r="BB70" s="9"/>
      <c r="BC70" s="7">
        <f t="shared" ref="BC70:BC102" si="83">ROUND($C70*(1+$B$3)*BA70*0.25,-1)</f>
        <v>0</v>
      </c>
      <c r="BD70" s="7">
        <f t="shared" ref="BD70:BD102" si="84">ROUND($C70*(1+$B$3)*BB70*0.5,-1)</f>
        <v>0</v>
      </c>
      <c r="BE70" s="11">
        <f t="shared" si="60"/>
        <v>0</v>
      </c>
      <c r="BF70" s="9"/>
      <c r="BG70" s="9"/>
      <c r="BH70" s="7">
        <f t="shared" ref="BH70:BH102" si="85">ROUND($C70*(1+$B$3)*BF70*0.25,-1)</f>
        <v>0</v>
      </c>
      <c r="BI70" s="7">
        <f t="shared" ref="BI70:BI102" si="86">ROUND($C70*(1+$B$3)*BG70*0.5,-1)</f>
        <v>0</v>
      </c>
      <c r="BJ70" s="11">
        <f t="shared" si="61"/>
        <v>0</v>
      </c>
      <c r="BK70" s="9"/>
      <c r="BL70" s="9"/>
      <c r="BM70" s="7">
        <f t="shared" ref="BM70:BM102" si="87">ROUND($C70*(1+$B$3)*BK70*0.25,-1)</f>
        <v>0</v>
      </c>
      <c r="BN70" s="7">
        <f t="shared" ref="BN70:BN102" si="88">ROUND($C70*(1+$B$3)*BL70*0.5,-1)</f>
        <v>0</v>
      </c>
      <c r="BO70" s="11">
        <f t="shared" si="62"/>
        <v>0</v>
      </c>
    </row>
    <row r="71" spans="1:67" x14ac:dyDescent="0.25">
      <c r="A71" t="s">
        <v>77</v>
      </c>
      <c r="B71" s="1">
        <v>1360</v>
      </c>
      <c r="C71">
        <v>215</v>
      </c>
      <c r="D71" s="7">
        <f t="shared" si="50"/>
        <v>2190</v>
      </c>
      <c r="E71" s="16"/>
      <c r="F71" s="19"/>
      <c r="G71" s="9"/>
      <c r="H71" s="7">
        <f t="shared" si="63"/>
        <v>0</v>
      </c>
      <c r="I71" s="7">
        <f t="shared" si="64"/>
        <v>0</v>
      </c>
      <c r="J71" s="11">
        <f t="shared" si="51"/>
        <v>0</v>
      </c>
      <c r="K71" s="9"/>
      <c r="L71" s="9"/>
      <c r="M71" s="7">
        <f t="shared" si="65"/>
        <v>0</v>
      </c>
      <c r="N71" s="7">
        <f t="shared" si="66"/>
        <v>0</v>
      </c>
      <c r="O71" s="11">
        <f t="shared" si="52"/>
        <v>0</v>
      </c>
      <c r="P71" s="9">
        <v>4.5</v>
      </c>
      <c r="Q71" s="9"/>
      <c r="R71" s="7">
        <f t="shared" si="67"/>
        <v>270</v>
      </c>
      <c r="S71" s="7">
        <f t="shared" si="68"/>
        <v>0</v>
      </c>
      <c r="T71" s="11">
        <f t="shared" si="53"/>
        <v>270</v>
      </c>
      <c r="U71" s="9">
        <v>10.5</v>
      </c>
      <c r="V71" s="9">
        <v>11</v>
      </c>
      <c r="W71" s="7">
        <f t="shared" si="69"/>
        <v>620</v>
      </c>
      <c r="X71" s="7">
        <f t="shared" si="70"/>
        <v>1300</v>
      </c>
      <c r="Y71" s="22">
        <f t="shared" si="54"/>
        <v>1920</v>
      </c>
      <c r="Z71" s="26">
        <f t="shared" si="71"/>
        <v>2190</v>
      </c>
      <c r="AA71" s="9"/>
      <c r="AB71" s="9"/>
      <c r="AC71" s="7">
        <f t="shared" si="72"/>
        <v>0</v>
      </c>
      <c r="AD71" s="7">
        <f t="shared" si="73"/>
        <v>0</v>
      </c>
      <c r="AE71" s="11">
        <f t="shared" si="55"/>
        <v>0</v>
      </c>
      <c r="AF71" s="9"/>
      <c r="AG71" s="9"/>
      <c r="AH71" s="7">
        <f t="shared" si="74"/>
        <v>0</v>
      </c>
      <c r="AI71" s="7">
        <f t="shared" si="75"/>
        <v>0</v>
      </c>
      <c r="AJ71" s="22">
        <f t="shared" si="56"/>
        <v>0</v>
      </c>
      <c r="AK71" s="26">
        <f t="shared" si="76"/>
        <v>0</v>
      </c>
      <c r="AL71" s="9"/>
      <c r="AM71" s="9"/>
      <c r="AN71" s="7">
        <f t="shared" si="77"/>
        <v>0</v>
      </c>
      <c r="AO71" s="7">
        <f t="shared" si="78"/>
        <v>0</v>
      </c>
      <c r="AP71" s="11">
        <f t="shared" si="57"/>
        <v>0</v>
      </c>
      <c r="AQ71" s="9"/>
      <c r="AR71" s="9"/>
      <c r="AS71" s="7">
        <f t="shared" si="79"/>
        <v>0</v>
      </c>
      <c r="AT71" s="7">
        <f t="shared" si="80"/>
        <v>0</v>
      </c>
      <c r="AU71" s="11">
        <f t="shared" si="58"/>
        <v>0</v>
      </c>
      <c r="AV71" s="9"/>
      <c r="AW71" s="9"/>
      <c r="AX71" s="7">
        <f t="shared" si="81"/>
        <v>0</v>
      </c>
      <c r="AY71" s="7">
        <f t="shared" si="82"/>
        <v>0</v>
      </c>
      <c r="AZ71" s="11">
        <f t="shared" si="59"/>
        <v>0</v>
      </c>
      <c r="BA71" s="9"/>
      <c r="BB71" s="9"/>
      <c r="BC71" s="7">
        <f t="shared" si="83"/>
        <v>0</v>
      </c>
      <c r="BD71" s="7">
        <f t="shared" si="84"/>
        <v>0</v>
      </c>
      <c r="BE71" s="11">
        <f t="shared" si="60"/>
        <v>0</v>
      </c>
      <c r="BF71" s="9"/>
      <c r="BG71" s="9"/>
      <c r="BH71" s="7">
        <f t="shared" si="85"/>
        <v>0</v>
      </c>
      <c r="BI71" s="7">
        <f t="shared" si="86"/>
        <v>0</v>
      </c>
      <c r="BJ71" s="11">
        <f t="shared" si="61"/>
        <v>0</v>
      </c>
      <c r="BK71" s="9"/>
      <c r="BL71" s="9"/>
      <c r="BM71" s="7">
        <f t="shared" si="87"/>
        <v>0</v>
      </c>
      <c r="BN71" s="7">
        <f t="shared" si="88"/>
        <v>0</v>
      </c>
      <c r="BO71" s="11">
        <f t="shared" si="62"/>
        <v>0</v>
      </c>
    </row>
    <row r="72" spans="1:67" x14ac:dyDescent="0.25">
      <c r="A72" t="s">
        <v>78</v>
      </c>
      <c r="B72" s="1">
        <v>1654</v>
      </c>
      <c r="C72">
        <v>230</v>
      </c>
      <c r="D72" s="7">
        <f t="shared" si="50"/>
        <v>440</v>
      </c>
      <c r="E72" s="16"/>
      <c r="F72" s="19"/>
      <c r="G72" s="9"/>
      <c r="H72" s="7">
        <f t="shared" si="63"/>
        <v>0</v>
      </c>
      <c r="I72" s="7">
        <f t="shared" si="64"/>
        <v>0</v>
      </c>
      <c r="J72" s="11">
        <f t="shared" si="51"/>
        <v>0</v>
      </c>
      <c r="K72" s="9"/>
      <c r="L72" s="9"/>
      <c r="M72" s="7">
        <f t="shared" si="65"/>
        <v>0</v>
      </c>
      <c r="N72" s="7">
        <f t="shared" si="66"/>
        <v>0</v>
      </c>
      <c r="O72" s="11">
        <f t="shared" si="52"/>
        <v>0</v>
      </c>
      <c r="P72" s="9"/>
      <c r="Q72" s="9"/>
      <c r="R72" s="7">
        <f t="shared" si="67"/>
        <v>0</v>
      </c>
      <c r="S72" s="7">
        <f t="shared" si="68"/>
        <v>0</v>
      </c>
      <c r="T72" s="11">
        <f t="shared" si="53"/>
        <v>0</v>
      </c>
      <c r="U72" s="9">
        <v>7</v>
      </c>
      <c r="V72" s="9"/>
      <c r="W72" s="7">
        <f t="shared" si="69"/>
        <v>440</v>
      </c>
      <c r="X72" s="7">
        <f t="shared" si="70"/>
        <v>0</v>
      </c>
      <c r="Y72" s="22">
        <f t="shared" si="54"/>
        <v>440</v>
      </c>
      <c r="Z72" s="26">
        <f t="shared" si="71"/>
        <v>440</v>
      </c>
      <c r="AA72" s="9"/>
      <c r="AB72" s="9"/>
      <c r="AC72" s="7">
        <f t="shared" si="72"/>
        <v>0</v>
      </c>
      <c r="AD72" s="7">
        <f t="shared" si="73"/>
        <v>0</v>
      </c>
      <c r="AE72" s="11">
        <f t="shared" si="55"/>
        <v>0</v>
      </c>
      <c r="AF72" s="9"/>
      <c r="AG72" s="9"/>
      <c r="AH72" s="7">
        <f t="shared" si="74"/>
        <v>0</v>
      </c>
      <c r="AI72" s="7">
        <f t="shared" si="75"/>
        <v>0</v>
      </c>
      <c r="AJ72" s="22">
        <f t="shared" si="56"/>
        <v>0</v>
      </c>
      <c r="AK72" s="26">
        <f t="shared" si="76"/>
        <v>0</v>
      </c>
      <c r="AL72" s="9"/>
      <c r="AM72" s="9"/>
      <c r="AN72" s="7">
        <f t="shared" si="77"/>
        <v>0</v>
      </c>
      <c r="AO72" s="7">
        <f t="shared" si="78"/>
        <v>0</v>
      </c>
      <c r="AP72" s="11">
        <f t="shared" si="57"/>
        <v>0</v>
      </c>
      <c r="AQ72" s="9"/>
      <c r="AR72" s="9"/>
      <c r="AS72" s="7">
        <f t="shared" si="79"/>
        <v>0</v>
      </c>
      <c r="AT72" s="7">
        <f t="shared" si="80"/>
        <v>0</v>
      </c>
      <c r="AU72" s="11">
        <f t="shared" si="58"/>
        <v>0</v>
      </c>
      <c r="AV72" s="9"/>
      <c r="AW72" s="9"/>
      <c r="AX72" s="7">
        <f t="shared" si="81"/>
        <v>0</v>
      </c>
      <c r="AY72" s="7">
        <f t="shared" si="82"/>
        <v>0</v>
      </c>
      <c r="AZ72" s="11">
        <f t="shared" si="59"/>
        <v>0</v>
      </c>
      <c r="BA72" s="9"/>
      <c r="BB72" s="9"/>
      <c r="BC72" s="7">
        <f t="shared" si="83"/>
        <v>0</v>
      </c>
      <c r="BD72" s="7">
        <f t="shared" si="84"/>
        <v>0</v>
      </c>
      <c r="BE72" s="11">
        <f t="shared" si="60"/>
        <v>0</v>
      </c>
      <c r="BF72" s="9"/>
      <c r="BG72" s="9"/>
      <c r="BH72" s="7">
        <f t="shared" si="85"/>
        <v>0</v>
      </c>
      <c r="BI72" s="7">
        <f t="shared" si="86"/>
        <v>0</v>
      </c>
      <c r="BJ72" s="11">
        <f t="shared" si="61"/>
        <v>0</v>
      </c>
      <c r="BK72" s="9"/>
      <c r="BL72" s="9"/>
      <c r="BM72" s="7">
        <f t="shared" si="87"/>
        <v>0</v>
      </c>
      <c r="BN72" s="7">
        <f t="shared" si="88"/>
        <v>0</v>
      </c>
      <c r="BO72" s="11">
        <f t="shared" si="62"/>
        <v>0</v>
      </c>
    </row>
    <row r="73" spans="1:67" x14ac:dyDescent="0.25">
      <c r="A73" t="s">
        <v>79</v>
      </c>
      <c r="B73" s="1">
        <v>1676</v>
      </c>
      <c r="C73">
        <v>215</v>
      </c>
      <c r="D73" s="7">
        <f t="shared" si="50"/>
        <v>0</v>
      </c>
      <c r="E73" s="16"/>
      <c r="F73" s="19"/>
      <c r="G73" s="9"/>
      <c r="H73" s="7">
        <f t="shared" si="63"/>
        <v>0</v>
      </c>
      <c r="I73" s="7">
        <f t="shared" si="64"/>
        <v>0</v>
      </c>
      <c r="J73" s="11">
        <f t="shared" si="51"/>
        <v>0</v>
      </c>
      <c r="K73" s="9"/>
      <c r="L73" s="9"/>
      <c r="M73" s="7">
        <f t="shared" si="65"/>
        <v>0</v>
      </c>
      <c r="N73" s="7">
        <f t="shared" si="66"/>
        <v>0</v>
      </c>
      <c r="O73" s="11">
        <f t="shared" si="52"/>
        <v>0</v>
      </c>
      <c r="P73" s="9"/>
      <c r="Q73" s="9"/>
      <c r="R73" s="7">
        <f t="shared" si="67"/>
        <v>0</v>
      </c>
      <c r="S73" s="7">
        <f t="shared" si="68"/>
        <v>0</v>
      </c>
      <c r="T73" s="11">
        <f t="shared" si="53"/>
        <v>0</v>
      </c>
      <c r="U73" s="9"/>
      <c r="V73" s="9"/>
      <c r="W73" s="7">
        <f t="shared" si="69"/>
        <v>0</v>
      </c>
      <c r="X73" s="7">
        <f t="shared" si="70"/>
        <v>0</v>
      </c>
      <c r="Y73" s="22">
        <f t="shared" si="54"/>
        <v>0</v>
      </c>
      <c r="Z73" s="26">
        <f t="shared" si="71"/>
        <v>0</v>
      </c>
      <c r="AA73" s="9"/>
      <c r="AB73" s="9"/>
      <c r="AC73" s="7">
        <f t="shared" si="72"/>
        <v>0</v>
      </c>
      <c r="AD73" s="7">
        <f t="shared" si="73"/>
        <v>0</v>
      </c>
      <c r="AE73" s="11">
        <f t="shared" si="55"/>
        <v>0</v>
      </c>
      <c r="AF73" s="9"/>
      <c r="AG73" s="9"/>
      <c r="AH73" s="7">
        <f t="shared" si="74"/>
        <v>0</v>
      </c>
      <c r="AI73" s="7">
        <f t="shared" si="75"/>
        <v>0</v>
      </c>
      <c r="AJ73" s="22">
        <f t="shared" si="56"/>
        <v>0</v>
      </c>
      <c r="AK73" s="26">
        <f t="shared" si="76"/>
        <v>0</v>
      </c>
      <c r="AL73" s="9"/>
      <c r="AM73" s="9"/>
      <c r="AN73" s="7">
        <f t="shared" si="77"/>
        <v>0</v>
      </c>
      <c r="AO73" s="7">
        <f t="shared" si="78"/>
        <v>0</v>
      </c>
      <c r="AP73" s="11">
        <f t="shared" si="57"/>
        <v>0</v>
      </c>
      <c r="AQ73" s="9"/>
      <c r="AR73" s="9"/>
      <c r="AS73" s="7">
        <f t="shared" si="79"/>
        <v>0</v>
      </c>
      <c r="AT73" s="7">
        <f t="shared" si="80"/>
        <v>0</v>
      </c>
      <c r="AU73" s="11">
        <f t="shared" si="58"/>
        <v>0</v>
      </c>
      <c r="AV73" s="9"/>
      <c r="AW73" s="9"/>
      <c r="AX73" s="7">
        <f t="shared" si="81"/>
        <v>0</v>
      </c>
      <c r="AY73" s="7">
        <f t="shared" si="82"/>
        <v>0</v>
      </c>
      <c r="AZ73" s="11">
        <f t="shared" si="59"/>
        <v>0</v>
      </c>
      <c r="BA73" s="9"/>
      <c r="BB73" s="9"/>
      <c r="BC73" s="7">
        <f t="shared" si="83"/>
        <v>0</v>
      </c>
      <c r="BD73" s="7">
        <f t="shared" si="84"/>
        <v>0</v>
      </c>
      <c r="BE73" s="11">
        <f t="shared" si="60"/>
        <v>0</v>
      </c>
      <c r="BF73" s="9"/>
      <c r="BG73" s="9"/>
      <c r="BH73" s="7">
        <f t="shared" si="85"/>
        <v>0</v>
      </c>
      <c r="BI73" s="7">
        <f t="shared" si="86"/>
        <v>0</v>
      </c>
      <c r="BJ73" s="11">
        <f t="shared" si="61"/>
        <v>0</v>
      </c>
      <c r="BK73" s="9"/>
      <c r="BL73" s="9"/>
      <c r="BM73" s="7">
        <f t="shared" si="87"/>
        <v>0</v>
      </c>
      <c r="BN73" s="7">
        <f t="shared" si="88"/>
        <v>0</v>
      </c>
      <c r="BO73" s="11">
        <f t="shared" si="62"/>
        <v>0</v>
      </c>
    </row>
    <row r="74" spans="1:67" x14ac:dyDescent="0.25">
      <c r="A74" t="s">
        <v>80</v>
      </c>
      <c r="B74" s="1">
        <v>1519</v>
      </c>
      <c r="C74">
        <v>230</v>
      </c>
      <c r="D74" s="7">
        <f t="shared" si="50"/>
        <v>0</v>
      </c>
      <c r="E74" s="16"/>
      <c r="F74" s="19"/>
      <c r="G74" s="9"/>
      <c r="H74" s="7">
        <f t="shared" si="63"/>
        <v>0</v>
      </c>
      <c r="I74" s="7">
        <f t="shared" si="64"/>
        <v>0</v>
      </c>
      <c r="J74" s="11">
        <f t="shared" si="51"/>
        <v>0</v>
      </c>
      <c r="K74" s="9"/>
      <c r="L74" s="9"/>
      <c r="M74" s="7">
        <f t="shared" si="65"/>
        <v>0</v>
      </c>
      <c r="N74" s="7">
        <f t="shared" si="66"/>
        <v>0</v>
      </c>
      <c r="O74" s="11">
        <f t="shared" si="52"/>
        <v>0</v>
      </c>
      <c r="P74" s="9"/>
      <c r="Q74" s="9"/>
      <c r="R74" s="7">
        <f t="shared" si="67"/>
        <v>0</v>
      </c>
      <c r="S74" s="7">
        <f t="shared" si="68"/>
        <v>0</v>
      </c>
      <c r="T74" s="11">
        <f t="shared" si="53"/>
        <v>0</v>
      </c>
      <c r="U74" s="9"/>
      <c r="V74" s="9"/>
      <c r="W74" s="7">
        <f t="shared" si="69"/>
        <v>0</v>
      </c>
      <c r="X74" s="7">
        <f t="shared" si="70"/>
        <v>0</v>
      </c>
      <c r="Y74" s="22">
        <f t="shared" si="54"/>
        <v>0</v>
      </c>
      <c r="Z74" s="26">
        <f t="shared" si="71"/>
        <v>0</v>
      </c>
      <c r="AA74" s="9"/>
      <c r="AB74" s="9"/>
      <c r="AC74" s="7">
        <f t="shared" si="72"/>
        <v>0</v>
      </c>
      <c r="AD74" s="7">
        <f t="shared" si="73"/>
        <v>0</v>
      </c>
      <c r="AE74" s="11">
        <f t="shared" si="55"/>
        <v>0</v>
      </c>
      <c r="AF74" s="9"/>
      <c r="AG74" s="9"/>
      <c r="AH74" s="7">
        <f t="shared" si="74"/>
        <v>0</v>
      </c>
      <c r="AI74" s="7">
        <f t="shared" si="75"/>
        <v>0</v>
      </c>
      <c r="AJ74" s="22">
        <f t="shared" si="56"/>
        <v>0</v>
      </c>
      <c r="AK74" s="26">
        <f t="shared" si="76"/>
        <v>0</v>
      </c>
      <c r="AL74" s="9"/>
      <c r="AM74" s="9"/>
      <c r="AN74" s="7">
        <f t="shared" si="77"/>
        <v>0</v>
      </c>
      <c r="AO74" s="7">
        <f t="shared" si="78"/>
        <v>0</v>
      </c>
      <c r="AP74" s="11">
        <f t="shared" si="57"/>
        <v>0</v>
      </c>
      <c r="AQ74" s="9"/>
      <c r="AR74" s="9"/>
      <c r="AS74" s="7">
        <f t="shared" si="79"/>
        <v>0</v>
      </c>
      <c r="AT74" s="7">
        <f t="shared" si="80"/>
        <v>0</v>
      </c>
      <c r="AU74" s="11">
        <f t="shared" si="58"/>
        <v>0</v>
      </c>
      <c r="AV74" s="9"/>
      <c r="AW74" s="9"/>
      <c r="AX74" s="7">
        <f t="shared" si="81"/>
        <v>0</v>
      </c>
      <c r="AY74" s="7">
        <f t="shared" si="82"/>
        <v>0</v>
      </c>
      <c r="AZ74" s="11">
        <f t="shared" si="59"/>
        <v>0</v>
      </c>
      <c r="BA74" s="9"/>
      <c r="BB74" s="9"/>
      <c r="BC74" s="7">
        <f t="shared" si="83"/>
        <v>0</v>
      </c>
      <c r="BD74" s="7">
        <f t="shared" si="84"/>
        <v>0</v>
      </c>
      <c r="BE74" s="11">
        <f t="shared" si="60"/>
        <v>0</v>
      </c>
      <c r="BF74" s="9"/>
      <c r="BG74" s="9"/>
      <c r="BH74" s="7">
        <f t="shared" si="85"/>
        <v>0</v>
      </c>
      <c r="BI74" s="7">
        <f t="shared" si="86"/>
        <v>0</v>
      </c>
      <c r="BJ74" s="11">
        <f t="shared" si="61"/>
        <v>0</v>
      </c>
      <c r="BK74" s="9"/>
      <c r="BL74" s="9"/>
      <c r="BM74" s="7">
        <f t="shared" si="87"/>
        <v>0</v>
      </c>
      <c r="BN74" s="7">
        <f t="shared" si="88"/>
        <v>0</v>
      </c>
      <c r="BO74" s="11">
        <f t="shared" si="62"/>
        <v>0</v>
      </c>
    </row>
    <row r="75" spans="1:67" x14ac:dyDescent="0.25">
      <c r="A75" t="s">
        <v>81</v>
      </c>
      <c r="B75" s="1">
        <v>1514</v>
      </c>
      <c r="C75">
        <v>245</v>
      </c>
      <c r="D75" s="7">
        <f t="shared" si="50"/>
        <v>4110</v>
      </c>
      <c r="E75" s="16"/>
      <c r="F75" s="19"/>
      <c r="G75" s="9"/>
      <c r="H75" s="7">
        <f t="shared" si="63"/>
        <v>0</v>
      </c>
      <c r="I75" s="7">
        <f t="shared" si="64"/>
        <v>0</v>
      </c>
      <c r="J75" s="11">
        <f t="shared" si="51"/>
        <v>0</v>
      </c>
      <c r="K75" s="9"/>
      <c r="L75" s="9"/>
      <c r="M75" s="7">
        <f t="shared" si="65"/>
        <v>0</v>
      </c>
      <c r="N75" s="7">
        <f t="shared" si="66"/>
        <v>0</v>
      </c>
      <c r="O75" s="11">
        <f t="shared" si="52"/>
        <v>0</v>
      </c>
      <c r="P75" s="9">
        <v>8</v>
      </c>
      <c r="Q75" s="9">
        <v>11.5</v>
      </c>
      <c r="R75" s="7">
        <f t="shared" si="67"/>
        <v>540</v>
      </c>
      <c r="S75" s="7">
        <f t="shared" si="68"/>
        <v>1550</v>
      </c>
      <c r="T75" s="11">
        <f t="shared" si="53"/>
        <v>2090</v>
      </c>
      <c r="U75" s="9">
        <v>6</v>
      </c>
      <c r="V75" s="9">
        <v>12</v>
      </c>
      <c r="W75" s="7">
        <f t="shared" si="69"/>
        <v>400</v>
      </c>
      <c r="X75" s="7">
        <f t="shared" si="70"/>
        <v>1620</v>
      </c>
      <c r="Y75" s="22">
        <f t="shared" si="54"/>
        <v>2020</v>
      </c>
      <c r="Z75" s="26">
        <f t="shared" si="71"/>
        <v>4110</v>
      </c>
      <c r="AA75" s="9"/>
      <c r="AB75" s="9"/>
      <c r="AC75" s="7">
        <f t="shared" si="72"/>
        <v>0</v>
      </c>
      <c r="AD75" s="7">
        <f t="shared" si="73"/>
        <v>0</v>
      </c>
      <c r="AE75" s="11">
        <f t="shared" si="55"/>
        <v>0</v>
      </c>
      <c r="AF75" s="9"/>
      <c r="AG75" s="9"/>
      <c r="AH75" s="7">
        <f t="shared" si="74"/>
        <v>0</v>
      </c>
      <c r="AI75" s="7">
        <f t="shared" si="75"/>
        <v>0</v>
      </c>
      <c r="AJ75" s="22">
        <f t="shared" si="56"/>
        <v>0</v>
      </c>
      <c r="AK75" s="26">
        <f t="shared" si="76"/>
        <v>0</v>
      </c>
      <c r="AL75" s="9"/>
      <c r="AM75" s="9"/>
      <c r="AN75" s="7">
        <f t="shared" si="77"/>
        <v>0</v>
      </c>
      <c r="AO75" s="7">
        <f t="shared" si="78"/>
        <v>0</v>
      </c>
      <c r="AP75" s="11">
        <f t="shared" si="57"/>
        <v>0</v>
      </c>
      <c r="AQ75" s="9"/>
      <c r="AR75" s="9"/>
      <c r="AS75" s="7">
        <f t="shared" si="79"/>
        <v>0</v>
      </c>
      <c r="AT75" s="7">
        <f t="shared" si="80"/>
        <v>0</v>
      </c>
      <c r="AU75" s="11">
        <f t="shared" si="58"/>
        <v>0</v>
      </c>
      <c r="AV75" s="9"/>
      <c r="AW75" s="9"/>
      <c r="AX75" s="7">
        <f t="shared" si="81"/>
        <v>0</v>
      </c>
      <c r="AY75" s="7">
        <f t="shared" si="82"/>
        <v>0</v>
      </c>
      <c r="AZ75" s="11">
        <f t="shared" si="59"/>
        <v>0</v>
      </c>
      <c r="BA75" s="9"/>
      <c r="BB75" s="9"/>
      <c r="BC75" s="7">
        <f t="shared" si="83"/>
        <v>0</v>
      </c>
      <c r="BD75" s="7">
        <f t="shared" si="84"/>
        <v>0</v>
      </c>
      <c r="BE75" s="11">
        <f t="shared" si="60"/>
        <v>0</v>
      </c>
      <c r="BF75" s="9"/>
      <c r="BG75" s="9"/>
      <c r="BH75" s="7">
        <f t="shared" si="85"/>
        <v>0</v>
      </c>
      <c r="BI75" s="7">
        <f t="shared" si="86"/>
        <v>0</v>
      </c>
      <c r="BJ75" s="11">
        <f t="shared" si="61"/>
        <v>0</v>
      </c>
      <c r="BK75" s="9"/>
      <c r="BL75" s="9"/>
      <c r="BM75" s="7">
        <f t="shared" si="87"/>
        <v>0</v>
      </c>
      <c r="BN75" s="7">
        <f t="shared" si="88"/>
        <v>0</v>
      </c>
      <c r="BO75" s="11">
        <f t="shared" si="62"/>
        <v>0</v>
      </c>
    </row>
    <row r="76" spans="1:67" x14ac:dyDescent="0.25">
      <c r="A76" t="s">
        <v>82</v>
      </c>
      <c r="B76" s="1">
        <v>1720</v>
      </c>
      <c r="C76">
        <v>215</v>
      </c>
      <c r="D76" s="7">
        <f t="shared" si="50"/>
        <v>1770</v>
      </c>
      <c r="E76" s="16"/>
      <c r="F76" s="19"/>
      <c r="G76" s="9"/>
      <c r="H76" s="7">
        <f t="shared" si="63"/>
        <v>0</v>
      </c>
      <c r="I76" s="7">
        <f t="shared" si="64"/>
        <v>0</v>
      </c>
      <c r="J76" s="11">
        <f t="shared" si="51"/>
        <v>0</v>
      </c>
      <c r="K76" s="9"/>
      <c r="L76" s="9"/>
      <c r="M76" s="7">
        <f t="shared" si="65"/>
        <v>0</v>
      </c>
      <c r="N76" s="7">
        <f t="shared" si="66"/>
        <v>0</v>
      </c>
      <c r="O76" s="11">
        <f t="shared" si="52"/>
        <v>0</v>
      </c>
      <c r="P76" s="9"/>
      <c r="Q76" s="9">
        <v>15</v>
      </c>
      <c r="R76" s="7">
        <f t="shared" si="67"/>
        <v>0</v>
      </c>
      <c r="S76" s="7">
        <f t="shared" si="68"/>
        <v>1770</v>
      </c>
      <c r="T76" s="11">
        <f t="shared" si="53"/>
        <v>1770</v>
      </c>
      <c r="U76" s="9"/>
      <c r="V76" s="9"/>
      <c r="W76" s="7">
        <f t="shared" si="69"/>
        <v>0</v>
      </c>
      <c r="X76" s="7">
        <f t="shared" si="70"/>
        <v>0</v>
      </c>
      <c r="Y76" s="22">
        <f t="shared" si="54"/>
        <v>0</v>
      </c>
      <c r="Z76" s="26">
        <f t="shared" si="71"/>
        <v>1770</v>
      </c>
      <c r="AA76" s="9"/>
      <c r="AB76" s="9"/>
      <c r="AC76" s="7">
        <f t="shared" si="72"/>
        <v>0</v>
      </c>
      <c r="AD76" s="7">
        <f t="shared" si="73"/>
        <v>0</v>
      </c>
      <c r="AE76" s="11">
        <f t="shared" si="55"/>
        <v>0</v>
      </c>
      <c r="AF76" s="9"/>
      <c r="AG76" s="9"/>
      <c r="AH76" s="7">
        <f t="shared" si="74"/>
        <v>0</v>
      </c>
      <c r="AI76" s="7">
        <f t="shared" si="75"/>
        <v>0</v>
      </c>
      <c r="AJ76" s="22">
        <f t="shared" si="56"/>
        <v>0</v>
      </c>
      <c r="AK76" s="26">
        <f t="shared" si="76"/>
        <v>0</v>
      </c>
      <c r="AL76" s="9"/>
      <c r="AM76" s="9"/>
      <c r="AN76" s="7">
        <f t="shared" si="77"/>
        <v>0</v>
      </c>
      <c r="AO76" s="7">
        <f t="shared" si="78"/>
        <v>0</v>
      </c>
      <c r="AP76" s="11">
        <f t="shared" si="57"/>
        <v>0</v>
      </c>
      <c r="AQ76" s="9"/>
      <c r="AR76" s="9"/>
      <c r="AS76" s="7">
        <f t="shared" si="79"/>
        <v>0</v>
      </c>
      <c r="AT76" s="7">
        <f t="shared" si="80"/>
        <v>0</v>
      </c>
      <c r="AU76" s="11">
        <f t="shared" si="58"/>
        <v>0</v>
      </c>
      <c r="AV76" s="9"/>
      <c r="AW76" s="9"/>
      <c r="AX76" s="7">
        <f t="shared" si="81"/>
        <v>0</v>
      </c>
      <c r="AY76" s="7">
        <f t="shared" si="82"/>
        <v>0</v>
      </c>
      <c r="AZ76" s="11">
        <f t="shared" si="59"/>
        <v>0</v>
      </c>
      <c r="BA76" s="9"/>
      <c r="BB76" s="9"/>
      <c r="BC76" s="7">
        <f t="shared" si="83"/>
        <v>0</v>
      </c>
      <c r="BD76" s="7">
        <f t="shared" si="84"/>
        <v>0</v>
      </c>
      <c r="BE76" s="11">
        <f t="shared" si="60"/>
        <v>0</v>
      </c>
      <c r="BF76" s="9"/>
      <c r="BG76" s="9"/>
      <c r="BH76" s="7">
        <f t="shared" si="85"/>
        <v>0</v>
      </c>
      <c r="BI76" s="7">
        <f t="shared" si="86"/>
        <v>0</v>
      </c>
      <c r="BJ76" s="11">
        <f t="shared" si="61"/>
        <v>0</v>
      </c>
      <c r="BK76" s="9"/>
      <c r="BL76" s="9"/>
      <c r="BM76" s="7">
        <f t="shared" si="87"/>
        <v>0</v>
      </c>
      <c r="BN76" s="7">
        <f t="shared" si="88"/>
        <v>0</v>
      </c>
      <c r="BO76" s="11">
        <f t="shared" si="62"/>
        <v>0</v>
      </c>
    </row>
    <row r="77" spans="1:67" x14ac:dyDescent="0.25">
      <c r="A77" t="s">
        <v>83</v>
      </c>
      <c r="B77" s="1">
        <v>1721</v>
      </c>
      <c r="C77">
        <v>200</v>
      </c>
      <c r="D77" s="7">
        <f t="shared" si="50"/>
        <v>110</v>
      </c>
      <c r="E77" s="16"/>
      <c r="F77" s="19"/>
      <c r="G77" s="9"/>
      <c r="H77" s="7">
        <f t="shared" si="63"/>
        <v>0</v>
      </c>
      <c r="I77" s="7">
        <f t="shared" si="64"/>
        <v>0</v>
      </c>
      <c r="J77" s="11">
        <f t="shared" si="51"/>
        <v>0</v>
      </c>
      <c r="K77" s="9"/>
      <c r="L77" s="9"/>
      <c r="M77" s="7">
        <f t="shared" si="65"/>
        <v>0</v>
      </c>
      <c r="N77" s="7">
        <f t="shared" si="66"/>
        <v>0</v>
      </c>
      <c r="O77" s="11">
        <f t="shared" si="52"/>
        <v>0</v>
      </c>
      <c r="P77" s="9"/>
      <c r="Q77" s="9"/>
      <c r="R77" s="7">
        <f t="shared" si="67"/>
        <v>0</v>
      </c>
      <c r="S77" s="7">
        <f t="shared" si="68"/>
        <v>0</v>
      </c>
      <c r="T77" s="11">
        <f t="shared" si="53"/>
        <v>0</v>
      </c>
      <c r="U77" s="9">
        <v>2</v>
      </c>
      <c r="V77" s="9"/>
      <c r="W77" s="7">
        <f t="shared" si="69"/>
        <v>110</v>
      </c>
      <c r="X77" s="7">
        <f t="shared" si="70"/>
        <v>0</v>
      </c>
      <c r="Y77" s="22">
        <f t="shared" si="54"/>
        <v>110</v>
      </c>
      <c r="Z77" s="26">
        <f t="shared" si="71"/>
        <v>110</v>
      </c>
      <c r="AA77" s="9"/>
      <c r="AB77" s="9"/>
      <c r="AC77" s="7">
        <f t="shared" si="72"/>
        <v>0</v>
      </c>
      <c r="AD77" s="7">
        <f t="shared" si="73"/>
        <v>0</v>
      </c>
      <c r="AE77" s="11">
        <f t="shared" si="55"/>
        <v>0</v>
      </c>
      <c r="AF77" s="9"/>
      <c r="AG77" s="9"/>
      <c r="AH77" s="7">
        <f t="shared" si="74"/>
        <v>0</v>
      </c>
      <c r="AI77" s="7">
        <f t="shared" si="75"/>
        <v>0</v>
      </c>
      <c r="AJ77" s="22">
        <f t="shared" si="56"/>
        <v>0</v>
      </c>
      <c r="AK77" s="26">
        <f t="shared" si="76"/>
        <v>0</v>
      </c>
      <c r="AL77" s="9"/>
      <c r="AM77" s="9"/>
      <c r="AN77" s="7">
        <f t="shared" si="77"/>
        <v>0</v>
      </c>
      <c r="AO77" s="7">
        <f t="shared" si="78"/>
        <v>0</v>
      </c>
      <c r="AP77" s="11">
        <f t="shared" si="57"/>
        <v>0</v>
      </c>
      <c r="AQ77" s="9"/>
      <c r="AR77" s="9"/>
      <c r="AS77" s="7">
        <f t="shared" si="79"/>
        <v>0</v>
      </c>
      <c r="AT77" s="7">
        <f t="shared" si="80"/>
        <v>0</v>
      </c>
      <c r="AU77" s="11">
        <f t="shared" si="58"/>
        <v>0</v>
      </c>
      <c r="AV77" s="9"/>
      <c r="AW77" s="9"/>
      <c r="AX77" s="7">
        <f t="shared" si="81"/>
        <v>0</v>
      </c>
      <c r="AY77" s="7">
        <f t="shared" si="82"/>
        <v>0</v>
      </c>
      <c r="AZ77" s="11">
        <f t="shared" si="59"/>
        <v>0</v>
      </c>
      <c r="BA77" s="9"/>
      <c r="BB77" s="9"/>
      <c r="BC77" s="7">
        <f t="shared" si="83"/>
        <v>0</v>
      </c>
      <c r="BD77" s="7">
        <f t="shared" si="84"/>
        <v>0</v>
      </c>
      <c r="BE77" s="11">
        <f t="shared" si="60"/>
        <v>0</v>
      </c>
      <c r="BF77" s="9"/>
      <c r="BG77" s="9"/>
      <c r="BH77" s="7">
        <f t="shared" si="85"/>
        <v>0</v>
      </c>
      <c r="BI77" s="7">
        <f t="shared" si="86"/>
        <v>0</v>
      </c>
      <c r="BJ77" s="11">
        <f t="shared" si="61"/>
        <v>0</v>
      </c>
      <c r="BK77" s="9"/>
      <c r="BL77" s="9"/>
      <c r="BM77" s="7">
        <f t="shared" si="87"/>
        <v>0</v>
      </c>
      <c r="BN77" s="7">
        <f t="shared" si="88"/>
        <v>0</v>
      </c>
      <c r="BO77" s="11">
        <f t="shared" si="62"/>
        <v>0</v>
      </c>
    </row>
    <row r="78" spans="1:67" x14ac:dyDescent="0.25">
      <c r="A78" t="s">
        <v>84</v>
      </c>
      <c r="B78" s="1">
        <v>1271</v>
      </c>
      <c r="C78">
        <v>260</v>
      </c>
      <c r="D78" s="7">
        <f t="shared" si="50"/>
        <v>3860</v>
      </c>
      <c r="E78" s="16"/>
      <c r="F78" s="19"/>
      <c r="G78" s="9"/>
      <c r="H78" s="7">
        <f t="shared" si="63"/>
        <v>0</v>
      </c>
      <c r="I78" s="7">
        <f t="shared" si="64"/>
        <v>0</v>
      </c>
      <c r="J78" s="11">
        <f t="shared" si="51"/>
        <v>0</v>
      </c>
      <c r="K78" s="9"/>
      <c r="L78" s="9"/>
      <c r="M78" s="7">
        <f t="shared" si="65"/>
        <v>0</v>
      </c>
      <c r="N78" s="7">
        <f t="shared" si="66"/>
        <v>0</v>
      </c>
      <c r="O78" s="11">
        <f t="shared" si="52"/>
        <v>0</v>
      </c>
      <c r="P78" s="9">
        <v>11</v>
      </c>
      <c r="Q78" s="9"/>
      <c r="R78" s="7">
        <f t="shared" si="67"/>
        <v>790</v>
      </c>
      <c r="S78" s="7">
        <f t="shared" si="68"/>
        <v>0</v>
      </c>
      <c r="T78" s="11">
        <f t="shared" si="53"/>
        <v>790</v>
      </c>
      <c r="U78" s="9">
        <v>28</v>
      </c>
      <c r="V78" s="9">
        <v>7.5</v>
      </c>
      <c r="W78" s="7">
        <f t="shared" si="69"/>
        <v>2000</v>
      </c>
      <c r="X78" s="7">
        <f t="shared" si="70"/>
        <v>1070</v>
      </c>
      <c r="Y78" s="22">
        <f t="shared" si="54"/>
        <v>3070</v>
      </c>
      <c r="Z78" s="26">
        <f t="shared" si="71"/>
        <v>3860</v>
      </c>
      <c r="AA78" s="9"/>
      <c r="AB78" s="9"/>
      <c r="AC78" s="7">
        <f t="shared" si="72"/>
        <v>0</v>
      </c>
      <c r="AD78" s="7">
        <f t="shared" si="73"/>
        <v>0</v>
      </c>
      <c r="AE78" s="11">
        <f t="shared" si="55"/>
        <v>0</v>
      </c>
      <c r="AF78" s="9"/>
      <c r="AG78" s="9"/>
      <c r="AH78" s="7">
        <f t="shared" si="74"/>
        <v>0</v>
      </c>
      <c r="AI78" s="7">
        <f t="shared" si="75"/>
        <v>0</v>
      </c>
      <c r="AJ78" s="22">
        <f t="shared" si="56"/>
        <v>0</v>
      </c>
      <c r="AK78" s="26">
        <f t="shared" si="76"/>
        <v>0</v>
      </c>
      <c r="AL78" s="9"/>
      <c r="AM78" s="9"/>
      <c r="AN78" s="7">
        <f t="shared" si="77"/>
        <v>0</v>
      </c>
      <c r="AO78" s="7">
        <f t="shared" si="78"/>
        <v>0</v>
      </c>
      <c r="AP78" s="11">
        <f t="shared" si="57"/>
        <v>0</v>
      </c>
      <c r="AQ78" s="9"/>
      <c r="AR78" s="9"/>
      <c r="AS78" s="7">
        <f t="shared" si="79"/>
        <v>0</v>
      </c>
      <c r="AT78" s="7">
        <f t="shared" si="80"/>
        <v>0</v>
      </c>
      <c r="AU78" s="11">
        <f t="shared" si="58"/>
        <v>0</v>
      </c>
      <c r="AV78" s="9"/>
      <c r="AW78" s="9"/>
      <c r="AX78" s="7">
        <f t="shared" si="81"/>
        <v>0</v>
      </c>
      <c r="AY78" s="7">
        <f t="shared" si="82"/>
        <v>0</v>
      </c>
      <c r="AZ78" s="11">
        <f t="shared" si="59"/>
        <v>0</v>
      </c>
      <c r="BA78" s="9"/>
      <c r="BB78" s="9"/>
      <c r="BC78" s="7">
        <f t="shared" si="83"/>
        <v>0</v>
      </c>
      <c r="BD78" s="7">
        <f t="shared" si="84"/>
        <v>0</v>
      </c>
      <c r="BE78" s="11">
        <f t="shared" si="60"/>
        <v>0</v>
      </c>
      <c r="BF78" s="9"/>
      <c r="BG78" s="9"/>
      <c r="BH78" s="7">
        <f t="shared" si="85"/>
        <v>0</v>
      </c>
      <c r="BI78" s="7">
        <f t="shared" si="86"/>
        <v>0</v>
      </c>
      <c r="BJ78" s="11">
        <f t="shared" si="61"/>
        <v>0</v>
      </c>
      <c r="BK78" s="9"/>
      <c r="BL78" s="9"/>
      <c r="BM78" s="7">
        <f t="shared" si="87"/>
        <v>0</v>
      </c>
      <c r="BN78" s="7">
        <f t="shared" si="88"/>
        <v>0</v>
      </c>
      <c r="BO78" s="11">
        <f t="shared" si="62"/>
        <v>0</v>
      </c>
    </row>
    <row r="79" spans="1:67" x14ac:dyDescent="0.25">
      <c r="A79" t="s">
        <v>85</v>
      </c>
      <c r="B79" s="1">
        <v>1599</v>
      </c>
      <c r="C79">
        <v>200</v>
      </c>
      <c r="D79" s="7">
        <f t="shared" si="50"/>
        <v>5760</v>
      </c>
      <c r="E79" s="16"/>
      <c r="F79" s="19"/>
      <c r="G79" s="9"/>
      <c r="H79" s="7">
        <f t="shared" si="63"/>
        <v>0</v>
      </c>
      <c r="I79" s="7">
        <f t="shared" si="64"/>
        <v>0</v>
      </c>
      <c r="J79" s="11">
        <f t="shared" si="51"/>
        <v>0</v>
      </c>
      <c r="K79" s="9"/>
      <c r="L79" s="9"/>
      <c r="M79" s="7">
        <f t="shared" si="65"/>
        <v>0</v>
      </c>
      <c r="N79" s="7">
        <f t="shared" si="66"/>
        <v>0</v>
      </c>
      <c r="O79" s="11">
        <f t="shared" si="52"/>
        <v>0</v>
      </c>
      <c r="P79" s="9">
        <v>19</v>
      </c>
      <c r="Q79" s="9">
        <v>22.5</v>
      </c>
      <c r="R79" s="7">
        <f t="shared" si="67"/>
        <v>1050</v>
      </c>
      <c r="S79" s="7">
        <f t="shared" si="68"/>
        <v>2480</v>
      </c>
      <c r="T79" s="11">
        <f t="shared" si="53"/>
        <v>3530</v>
      </c>
      <c r="U79" s="9">
        <v>23.5</v>
      </c>
      <c r="V79" s="9">
        <v>8.5</v>
      </c>
      <c r="W79" s="7">
        <f t="shared" si="69"/>
        <v>1290</v>
      </c>
      <c r="X79" s="7">
        <f t="shared" si="70"/>
        <v>940</v>
      </c>
      <c r="Y79" s="22">
        <f t="shared" si="54"/>
        <v>2230</v>
      </c>
      <c r="Z79" s="26">
        <f t="shared" si="71"/>
        <v>5760</v>
      </c>
      <c r="AA79" s="9"/>
      <c r="AB79" s="9"/>
      <c r="AC79" s="7">
        <f t="shared" si="72"/>
        <v>0</v>
      </c>
      <c r="AD79" s="7">
        <f t="shared" si="73"/>
        <v>0</v>
      </c>
      <c r="AE79" s="11">
        <f t="shared" si="55"/>
        <v>0</v>
      </c>
      <c r="AF79" s="9"/>
      <c r="AG79" s="9"/>
      <c r="AH79" s="7">
        <f t="shared" si="74"/>
        <v>0</v>
      </c>
      <c r="AI79" s="7">
        <f t="shared" si="75"/>
        <v>0</v>
      </c>
      <c r="AJ79" s="22">
        <f t="shared" si="56"/>
        <v>0</v>
      </c>
      <c r="AK79" s="26">
        <f t="shared" si="76"/>
        <v>0</v>
      </c>
      <c r="AL79" s="9"/>
      <c r="AM79" s="9"/>
      <c r="AN79" s="7">
        <f t="shared" si="77"/>
        <v>0</v>
      </c>
      <c r="AO79" s="7">
        <f t="shared" si="78"/>
        <v>0</v>
      </c>
      <c r="AP79" s="11">
        <f t="shared" si="57"/>
        <v>0</v>
      </c>
      <c r="AQ79" s="9"/>
      <c r="AR79" s="9"/>
      <c r="AS79" s="7">
        <f t="shared" si="79"/>
        <v>0</v>
      </c>
      <c r="AT79" s="7">
        <f t="shared" si="80"/>
        <v>0</v>
      </c>
      <c r="AU79" s="11">
        <f t="shared" si="58"/>
        <v>0</v>
      </c>
      <c r="AV79" s="9"/>
      <c r="AW79" s="9"/>
      <c r="AX79" s="7">
        <f t="shared" si="81"/>
        <v>0</v>
      </c>
      <c r="AY79" s="7">
        <f t="shared" si="82"/>
        <v>0</v>
      </c>
      <c r="AZ79" s="11">
        <f t="shared" si="59"/>
        <v>0</v>
      </c>
      <c r="BA79" s="9"/>
      <c r="BB79" s="9"/>
      <c r="BC79" s="7">
        <f t="shared" si="83"/>
        <v>0</v>
      </c>
      <c r="BD79" s="7">
        <f t="shared" si="84"/>
        <v>0</v>
      </c>
      <c r="BE79" s="11">
        <f t="shared" si="60"/>
        <v>0</v>
      </c>
      <c r="BF79" s="9"/>
      <c r="BG79" s="9"/>
      <c r="BH79" s="7">
        <f t="shared" si="85"/>
        <v>0</v>
      </c>
      <c r="BI79" s="7">
        <f t="shared" si="86"/>
        <v>0</v>
      </c>
      <c r="BJ79" s="11">
        <f t="shared" si="61"/>
        <v>0</v>
      </c>
      <c r="BK79" s="9"/>
      <c r="BL79" s="9"/>
      <c r="BM79" s="7">
        <f t="shared" si="87"/>
        <v>0</v>
      </c>
      <c r="BN79" s="7">
        <f t="shared" si="88"/>
        <v>0</v>
      </c>
      <c r="BO79" s="11">
        <f t="shared" si="62"/>
        <v>0</v>
      </c>
    </row>
    <row r="80" spans="1:67" x14ac:dyDescent="0.25">
      <c r="A80" t="s">
        <v>86</v>
      </c>
      <c r="B80" s="1">
        <v>1711</v>
      </c>
      <c r="C80">
        <v>215</v>
      </c>
      <c r="D80" s="7">
        <f t="shared" si="50"/>
        <v>890</v>
      </c>
      <c r="E80" s="16"/>
      <c r="F80" s="19"/>
      <c r="G80" s="9"/>
      <c r="H80" s="7">
        <f t="shared" si="63"/>
        <v>0</v>
      </c>
      <c r="I80" s="7">
        <f t="shared" si="64"/>
        <v>0</v>
      </c>
      <c r="J80" s="11">
        <f t="shared" si="51"/>
        <v>0</v>
      </c>
      <c r="K80" s="9"/>
      <c r="L80" s="9"/>
      <c r="M80" s="7">
        <f t="shared" si="65"/>
        <v>0</v>
      </c>
      <c r="N80" s="7">
        <f t="shared" si="66"/>
        <v>0</v>
      </c>
      <c r="O80" s="11">
        <f t="shared" si="52"/>
        <v>0</v>
      </c>
      <c r="P80" s="9"/>
      <c r="Q80" s="9">
        <v>7.5</v>
      </c>
      <c r="R80" s="7">
        <f t="shared" si="67"/>
        <v>0</v>
      </c>
      <c r="S80" s="7">
        <f t="shared" si="68"/>
        <v>890</v>
      </c>
      <c r="T80" s="11">
        <f t="shared" si="53"/>
        <v>890</v>
      </c>
      <c r="U80" s="9"/>
      <c r="V80" s="9"/>
      <c r="W80" s="7">
        <f t="shared" si="69"/>
        <v>0</v>
      </c>
      <c r="X80" s="7">
        <f t="shared" si="70"/>
        <v>0</v>
      </c>
      <c r="Y80" s="22">
        <f t="shared" si="54"/>
        <v>0</v>
      </c>
      <c r="Z80" s="26">
        <f t="shared" si="71"/>
        <v>890</v>
      </c>
      <c r="AA80" s="9"/>
      <c r="AB80" s="9"/>
      <c r="AC80" s="7">
        <f t="shared" si="72"/>
        <v>0</v>
      </c>
      <c r="AD80" s="7">
        <f t="shared" si="73"/>
        <v>0</v>
      </c>
      <c r="AE80" s="11">
        <f t="shared" si="55"/>
        <v>0</v>
      </c>
      <c r="AF80" s="9"/>
      <c r="AG80" s="9"/>
      <c r="AH80" s="7">
        <f t="shared" si="74"/>
        <v>0</v>
      </c>
      <c r="AI80" s="7">
        <f t="shared" si="75"/>
        <v>0</v>
      </c>
      <c r="AJ80" s="22">
        <f t="shared" si="56"/>
        <v>0</v>
      </c>
      <c r="AK80" s="26">
        <f t="shared" si="76"/>
        <v>0</v>
      </c>
      <c r="AL80" s="9"/>
      <c r="AM80" s="9"/>
      <c r="AN80" s="7">
        <f t="shared" si="77"/>
        <v>0</v>
      </c>
      <c r="AO80" s="7">
        <f t="shared" si="78"/>
        <v>0</v>
      </c>
      <c r="AP80" s="11">
        <f t="shared" si="57"/>
        <v>0</v>
      </c>
      <c r="AQ80" s="9"/>
      <c r="AR80" s="9"/>
      <c r="AS80" s="7">
        <f t="shared" si="79"/>
        <v>0</v>
      </c>
      <c r="AT80" s="7">
        <f t="shared" si="80"/>
        <v>0</v>
      </c>
      <c r="AU80" s="11">
        <f t="shared" si="58"/>
        <v>0</v>
      </c>
      <c r="AV80" s="9"/>
      <c r="AW80" s="9"/>
      <c r="AX80" s="7">
        <f t="shared" si="81"/>
        <v>0</v>
      </c>
      <c r="AY80" s="7">
        <f t="shared" si="82"/>
        <v>0</v>
      </c>
      <c r="AZ80" s="11">
        <f t="shared" si="59"/>
        <v>0</v>
      </c>
      <c r="BA80" s="9"/>
      <c r="BB80" s="9"/>
      <c r="BC80" s="7">
        <f t="shared" si="83"/>
        <v>0</v>
      </c>
      <c r="BD80" s="7">
        <f t="shared" si="84"/>
        <v>0</v>
      </c>
      <c r="BE80" s="11">
        <f t="shared" si="60"/>
        <v>0</v>
      </c>
      <c r="BF80" s="9"/>
      <c r="BG80" s="9"/>
      <c r="BH80" s="7">
        <f t="shared" si="85"/>
        <v>0</v>
      </c>
      <c r="BI80" s="7">
        <f t="shared" si="86"/>
        <v>0</v>
      </c>
      <c r="BJ80" s="11">
        <f t="shared" si="61"/>
        <v>0</v>
      </c>
      <c r="BK80" s="9"/>
      <c r="BL80" s="9"/>
      <c r="BM80" s="7">
        <f t="shared" si="87"/>
        <v>0</v>
      </c>
      <c r="BN80" s="7">
        <f t="shared" si="88"/>
        <v>0</v>
      </c>
      <c r="BO80" s="11">
        <f t="shared" si="62"/>
        <v>0</v>
      </c>
    </row>
    <row r="81" spans="1:67" x14ac:dyDescent="0.25">
      <c r="A81" t="s">
        <v>87</v>
      </c>
      <c r="B81" s="1">
        <v>1312</v>
      </c>
      <c r="C81">
        <v>245</v>
      </c>
      <c r="D81" s="7">
        <f t="shared" si="50"/>
        <v>0</v>
      </c>
      <c r="E81" s="16"/>
      <c r="F81" s="19"/>
      <c r="G81" s="9"/>
      <c r="H81" s="7">
        <f t="shared" si="63"/>
        <v>0</v>
      </c>
      <c r="I81" s="7">
        <f t="shared" si="64"/>
        <v>0</v>
      </c>
      <c r="J81" s="11">
        <f t="shared" si="51"/>
        <v>0</v>
      </c>
      <c r="K81" s="9"/>
      <c r="L81" s="9"/>
      <c r="M81" s="7">
        <f t="shared" si="65"/>
        <v>0</v>
      </c>
      <c r="N81" s="7">
        <f t="shared" si="66"/>
        <v>0</v>
      </c>
      <c r="O81" s="11">
        <f t="shared" si="52"/>
        <v>0</v>
      </c>
      <c r="P81" s="9"/>
      <c r="Q81" s="9"/>
      <c r="R81" s="7">
        <f t="shared" si="67"/>
        <v>0</v>
      </c>
      <c r="S81" s="7">
        <f t="shared" si="68"/>
        <v>0</v>
      </c>
      <c r="T81" s="11">
        <f t="shared" si="53"/>
        <v>0</v>
      </c>
      <c r="U81" s="9"/>
      <c r="V81" s="9"/>
      <c r="W81" s="7">
        <f t="shared" si="69"/>
        <v>0</v>
      </c>
      <c r="X81" s="7">
        <f t="shared" si="70"/>
        <v>0</v>
      </c>
      <c r="Y81" s="22">
        <f t="shared" si="54"/>
        <v>0</v>
      </c>
      <c r="Z81" s="26">
        <f t="shared" si="71"/>
        <v>0</v>
      </c>
      <c r="AA81" s="9"/>
      <c r="AB81" s="9"/>
      <c r="AC81" s="7">
        <f t="shared" si="72"/>
        <v>0</v>
      </c>
      <c r="AD81" s="7">
        <f t="shared" si="73"/>
        <v>0</v>
      </c>
      <c r="AE81" s="11">
        <f t="shared" si="55"/>
        <v>0</v>
      </c>
      <c r="AF81" s="9"/>
      <c r="AG81" s="9"/>
      <c r="AH81" s="7">
        <f t="shared" si="74"/>
        <v>0</v>
      </c>
      <c r="AI81" s="7">
        <f t="shared" si="75"/>
        <v>0</v>
      </c>
      <c r="AJ81" s="22">
        <f t="shared" si="56"/>
        <v>0</v>
      </c>
      <c r="AK81" s="26">
        <f t="shared" si="76"/>
        <v>0</v>
      </c>
      <c r="AL81" s="9"/>
      <c r="AM81" s="9"/>
      <c r="AN81" s="7">
        <f t="shared" si="77"/>
        <v>0</v>
      </c>
      <c r="AO81" s="7">
        <f t="shared" si="78"/>
        <v>0</v>
      </c>
      <c r="AP81" s="11">
        <f t="shared" si="57"/>
        <v>0</v>
      </c>
      <c r="AQ81" s="9"/>
      <c r="AR81" s="9"/>
      <c r="AS81" s="7">
        <f t="shared" si="79"/>
        <v>0</v>
      </c>
      <c r="AT81" s="7">
        <f t="shared" si="80"/>
        <v>0</v>
      </c>
      <c r="AU81" s="11">
        <f t="shared" si="58"/>
        <v>0</v>
      </c>
      <c r="AV81" s="9"/>
      <c r="AW81" s="9"/>
      <c r="AX81" s="7">
        <f t="shared" si="81"/>
        <v>0</v>
      </c>
      <c r="AY81" s="7">
        <f t="shared" si="82"/>
        <v>0</v>
      </c>
      <c r="AZ81" s="11">
        <f t="shared" si="59"/>
        <v>0</v>
      </c>
      <c r="BA81" s="9"/>
      <c r="BB81" s="9"/>
      <c r="BC81" s="7">
        <f t="shared" si="83"/>
        <v>0</v>
      </c>
      <c r="BD81" s="7">
        <f t="shared" si="84"/>
        <v>0</v>
      </c>
      <c r="BE81" s="11">
        <f t="shared" si="60"/>
        <v>0</v>
      </c>
      <c r="BF81" s="9"/>
      <c r="BG81" s="9"/>
      <c r="BH81" s="7">
        <f t="shared" si="85"/>
        <v>0</v>
      </c>
      <c r="BI81" s="7">
        <f t="shared" si="86"/>
        <v>0</v>
      </c>
      <c r="BJ81" s="11">
        <f t="shared" si="61"/>
        <v>0</v>
      </c>
      <c r="BK81" s="9"/>
      <c r="BL81" s="9"/>
      <c r="BM81" s="7">
        <f t="shared" si="87"/>
        <v>0</v>
      </c>
      <c r="BN81" s="7">
        <f t="shared" si="88"/>
        <v>0</v>
      </c>
      <c r="BO81" s="11">
        <f t="shared" si="62"/>
        <v>0</v>
      </c>
    </row>
    <row r="82" spans="1:67" x14ac:dyDescent="0.25">
      <c r="A82" t="s">
        <v>88</v>
      </c>
      <c r="B82" s="1">
        <v>1661</v>
      </c>
      <c r="C82">
        <v>215</v>
      </c>
      <c r="D82" s="7">
        <f t="shared" si="50"/>
        <v>180</v>
      </c>
      <c r="E82" s="16"/>
      <c r="F82" s="19"/>
      <c r="G82" s="9"/>
      <c r="H82" s="7">
        <f t="shared" si="63"/>
        <v>0</v>
      </c>
      <c r="I82" s="7">
        <f t="shared" si="64"/>
        <v>0</v>
      </c>
      <c r="J82" s="11">
        <f t="shared" si="51"/>
        <v>0</v>
      </c>
      <c r="K82" s="9"/>
      <c r="L82" s="9"/>
      <c r="M82" s="7">
        <f t="shared" si="65"/>
        <v>0</v>
      </c>
      <c r="N82" s="7">
        <f t="shared" si="66"/>
        <v>0</v>
      </c>
      <c r="O82" s="11">
        <f t="shared" si="52"/>
        <v>0</v>
      </c>
      <c r="P82" s="9"/>
      <c r="Q82" s="9"/>
      <c r="R82" s="7">
        <f t="shared" si="67"/>
        <v>0</v>
      </c>
      <c r="S82" s="7">
        <f t="shared" si="68"/>
        <v>0</v>
      </c>
      <c r="T82" s="11">
        <f t="shared" si="53"/>
        <v>0</v>
      </c>
      <c r="U82" s="9">
        <v>3</v>
      </c>
      <c r="V82" s="9"/>
      <c r="W82" s="7">
        <f t="shared" si="69"/>
        <v>180</v>
      </c>
      <c r="X82" s="7">
        <f t="shared" si="70"/>
        <v>0</v>
      </c>
      <c r="Y82" s="22">
        <f t="shared" si="54"/>
        <v>180</v>
      </c>
      <c r="Z82" s="26">
        <f t="shared" si="71"/>
        <v>180</v>
      </c>
      <c r="AA82" s="9"/>
      <c r="AB82" s="9"/>
      <c r="AC82" s="7">
        <f t="shared" si="72"/>
        <v>0</v>
      </c>
      <c r="AD82" s="7">
        <f t="shared" si="73"/>
        <v>0</v>
      </c>
      <c r="AE82" s="11">
        <f t="shared" si="55"/>
        <v>0</v>
      </c>
      <c r="AF82" s="9"/>
      <c r="AG82" s="9"/>
      <c r="AH82" s="7">
        <f t="shared" si="74"/>
        <v>0</v>
      </c>
      <c r="AI82" s="7">
        <f t="shared" si="75"/>
        <v>0</v>
      </c>
      <c r="AJ82" s="22">
        <f t="shared" si="56"/>
        <v>0</v>
      </c>
      <c r="AK82" s="26">
        <f t="shared" si="76"/>
        <v>0</v>
      </c>
      <c r="AL82" s="9"/>
      <c r="AM82" s="9"/>
      <c r="AN82" s="7">
        <f t="shared" si="77"/>
        <v>0</v>
      </c>
      <c r="AO82" s="7">
        <f t="shared" si="78"/>
        <v>0</v>
      </c>
      <c r="AP82" s="11">
        <f t="shared" si="57"/>
        <v>0</v>
      </c>
      <c r="AQ82" s="9"/>
      <c r="AR82" s="9"/>
      <c r="AS82" s="7">
        <f t="shared" si="79"/>
        <v>0</v>
      </c>
      <c r="AT82" s="7">
        <f t="shared" si="80"/>
        <v>0</v>
      </c>
      <c r="AU82" s="11">
        <f t="shared" si="58"/>
        <v>0</v>
      </c>
      <c r="AV82" s="9"/>
      <c r="AW82" s="9"/>
      <c r="AX82" s="7">
        <f t="shared" si="81"/>
        <v>0</v>
      </c>
      <c r="AY82" s="7">
        <f t="shared" si="82"/>
        <v>0</v>
      </c>
      <c r="AZ82" s="11">
        <f t="shared" si="59"/>
        <v>0</v>
      </c>
      <c r="BA82" s="9"/>
      <c r="BB82" s="9"/>
      <c r="BC82" s="7">
        <f t="shared" si="83"/>
        <v>0</v>
      </c>
      <c r="BD82" s="7">
        <f t="shared" si="84"/>
        <v>0</v>
      </c>
      <c r="BE82" s="11">
        <f t="shared" si="60"/>
        <v>0</v>
      </c>
      <c r="BF82" s="9"/>
      <c r="BG82" s="9"/>
      <c r="BH82" s="7">
        <f t="shared" si="85"/>
        <v>0</v>
      </c>
      <c r="BI82" s="7">
        <f t="shared" si="86"/>
        <v>0</v>
      </c>
      <c r="BJ82" s="11">
        <f t="shared" si="61"/>
        <v>0</v>
      </c>
      <c r="BK82" s="9"/>
      <c r="BL82" s="9"/>
      <c r="BM82" s="7">
        <f t="shared" si="87"/>
        <v>0</v>
      </c>
      <c r="BN82" s="7">
        <f t="shared" si="88"/>
        <v>0</v>
      </c>
      <c r="BO82" s="11">
        <f t="shared" si="62"/>
        <v>0</v>
      </c>
    </row>
    <row r="83" spans="1:67" x14ac:dyDescent="0.25">
      <c r="A83" t="s">
        <v>89</v>
      </c>
      <c r="B83" s="1">
        <v>1716</v>
      </c>
      <c r="C83">
        <v>200</v>
      </c>
      <c r="D83" s="7">
        <f t="shared" si="50"/>
        <v>220</v>
      </c>
      <c r="E83" s="16"/>
      <c r="F83" s="19"/>
      <c r="G83" s="9"/>
      <c r="H83" s="7">
        <f t="shared" si="63"/>
        <v>0</v>
      </c>
      <c r="I83" s="7">
        <f t="shared" si="64"/>
        <v>0</v>
      </c>
      <c r="J83" s="11">
        <f t="shared" si="51"/>
        <v>0</v>
      </c>
      <c r="K83" s="9"/>
      <c r="L83" s="9"/>
      <c r="M83" s="7">
        <f t="shared" si="65"/>
        <v>0</v>
      </c>
      <c r="N83" s="7">
        <f t="shared" si="66"/>
        <v>0</v>
      </c>
      <c r="O83" s="11">
        <f t="shared" si="52"/>
        <v>0</v>
      </c>
      <c r="P83" s="9">
        <v>3.5</v>
      </c>
      <c r="Q83" s="9"/>
      <c r="R83" s="7">
        <f t="shared" si="67"/>
        <v>190</v>
      </c>
      <c r="S83" s="7">
        <f t="shared" si="68"/>
        <v>0</v>
      </c>
      <c r="T83" s="11">
        <f t="shared" si="53"/>
        <v>190</v>
      </c>
      <c r="U83" s="9">
        <v>0.5</v>
      </c>
      <c r="V83" s="9"/>
      <c r="W83" s="7">
        <f t="shared" si="69"/>
        <v>30</v>
      </c>
      <c r="X83" s="7">
        <f t="shared" si="70"/>
        <v>0</v>
      </c>
      <c r="Y83" s="22">
        <f t="shared" si="54"/>
        <v>30</v>
      </c>
      <c r="Z83" s="26">
        <f t="shared" si="71"/>
        <v>220</v>
      </c>
      <c r="AA83" s="9"/>
      <c r="AB83" s="9"/>
      <c r="AC83" s="7">
        <f t="shared" si="72"/>
        <v>0</v>
      </c>
      <c r="AD83" s="7">
        <f t="shared" si="73"/>
        <v>0</v>
      </c>
      <c r="AE83" s="11">
        <f t="shared" si="55"/>
        <v>0</v>
      </c>
      <c r="AF83" s="9"/>
      <c r="AG83" s="9"/>
      <c r="AH83" s="7">
        <f t="shared" si="74"/>
        <v>0</v>
      </c>
      <c r="AI83" s="7">
        <f t="shared" si="75"/>
        <v>0</v>
      </c>
      <c r="AJ83" s="22">
        <f t="shared" si="56"/>
        <v>0</v>
      </c>
      <c r="AK83" s="26">
        <f t="shared" si="76"/>
        <v>0</v>
      </c>
      <c r="AL83" s="9"/>
      <c r="AM83" s="9"/>
      <c r="AN83" s="7">
        <f t="shared" si="77"/>
        <v>0</v>
      </c>
      <c r="AO83" s="7">
        <f t="shared" si="78"/>
        <v>0</v>
      </c>
      <c r="AP83" s="11">
        <f t="shared" si="57"/>
        <v>0</v>
      </c>
      <c r="AQ83" s="9"/>
      <c r="AR83" s="9"/>
      <c r="AS83" s="7">
        <f t="shared" si="79"/>
        <v>0</v>
      </c>
      <c r="AT83" s="7">
        <f t="shared" si="80"/>
        <v>0</v>
      </c>
      <c r="AU83" s="11">
        <f t="shared" si="58"/>
        <v>0</v>
      </c>
      <c r="AV83" s="9"/>
      <c r="AW83" s="9"/>
      <c r="AX83" s="7">
        <f t="shared" si="81"/>
        <v>0</v>
      </c>
      <c r="AY83" s="7">
        <f t="shared" si="82"/>
        <v>0</v>
      </c>
      <c r="AZ83" s="11">
        <f t="shared" si="59"/>
        <v>0</v>
      </c>
      <c r="BA83" s="9"/>
      <c r="BB83" s="9"/>
      <c r="BC83" s="7">
        <f t="shared" si="83"/>
        <v>0</v>
      </c>
      <c r="BD83" s="7">
        <f t="shared" si="84"/>
        <v>0</v>
      </c>
      <c r="BE83" s="11">
        <f t="shared" si="60"/>
        <v>0</v>
      </c>
      <c r="BF83" s="9"/>
      <c r="BG83" s="9"/>
      <c r="BH83" s="7">
        <f t="shared" si="85"/>
        <v>0</v>
      </c>
      <c r="BI83" s="7">
        <f t="shared" si="86"/>
        <v>0</v>
      </c>
      <c r="BJ83" s="11">
        <f t="shared" si="61"/>
        <v>0</v>
      </c>
      <c r="BK83" s="9"/>
      <c r="BL83" s="9"/>
      <c r="BM83" s="7">
        <f t="shared" si="87"/>
        <v>0</v>
      </c>
      <c r="BN83" s="7">
        <f t="shared" si="88"/>
        <v>0</v>
      </c>
      <c r="BO83" s="11">
        <f t="shared" si="62"/>
        <v>0</v>
      </c>
    </row>
    <row r="84" spans="1:67" x14ac:dyDescent="0.25">
      <c r="A84" t="s">
        <v>90</v>
      </c>
      <c r="B84" s="1">
        <v>1580</v>
      </c>
      <c r="C84">
        <v>230</v>
      </c>
      <c r="D84" s="7">
        <f t="shared" si="50"/>
        <v>1010</v>
      </c>
      <c r="E84" s="16"/>
      <c r="F84" s="19"/>
      <c r="G84" s="9"/>
      <c r="H84" s="7">
        <f t="shared" si="63"/>
        <v>0</v>
      </c>
      <c r="I84" s="7">
        <f t="shared" si="64"/>
        <v>0</v>
      </c>
      <c r="J84" s="11">
        <f t="shared" si="51"/>
        <v>0</v>
      </c>
      <c r="K84" s="9"/>
      <c r="L84" s="9"/>
      <c r="M84" s="7">
        <f t="shared" si="65"/>
        <v>0</v>
      </c>
      <c r="N84" s="7">
        <f t="shared" si="66"/>
        <v>0</v>
      </c>
      <c r="O84" s="11">
        <f t="shared" si="52"/>
        <v>0</v>
      </c>
      <c r="P84" s="9">
        <v>10</v>
      </c>
      <c r="Q84" s="9"/>
      <c r="R84" s="7">
        <f t="shared" si="67"/>
        <v>630</v>
      </c>
      <c r="S84" s="7">
        <f t="shared" si="68"/>
        <v>0</v>
      </c>
      <c r="T84" s="11">
        <f t="shared" si="53"/>
        <v>630</v>
      </c>
      <c r="U84" s="9">
        <v>6</v>
      </c>
      <c r="V84" s="9"/>
      <c r="W84" s="7">
        <f t="shared" si="69"/>
        <v>380</v>
      </c>
      <c r="X84" s="7">
        <f t="shared" si="70"/>
        <v>0</v>
      </c>
      <c r="Y84" s="22">
        <f t="shared" si="54"/>
        <v>380</v>
      </c>
      <c r="Z84" s="26">
        <f t="shared" si="71"/>
        <v>1010</v>
      </c>
      <c r="AA84" s="9"/>
      <c r="AB84" s="9"/>
      <c r="AC84" s="7">
        <f t="shared" si="72"/>
        <v>0</v>
      </c>
      <c r="AD84" s="7">
        <f t="shared" si="73"/>
        <v>0</v>
      </c>
      <c r="AE84" s="11">
        <f t="shared" si="55"/>
        <v>0</v>
      </c>
      <c r="AF84" s="9"/>
      <c r="AG84" s="9"/>
      <c r="AH84" s="7">
        <f t="shared" si="74"/>
        <v>0</v>
      </c>
      <c r="AI84" s="7">
        <f t="shared" si="75"/>
        <v>0</v>
      </c>
      <c r="AJ84" s="22">
        <f t="shared" si="56"/>
        <v>0</v>
      </c>
      <c r="AK84" s="26">
        <f t="shared" si="76"/>
        <v>0</v>
      </c>
      <c r="AL84" s="9"/>
      <c r="AM84" s="9"/>
      <c r="AN84" s="7">
        <f t="shared" si="77"/>
        <v>0</v>
      </c>
      <c r="AO84" s="7">
        <f t="shared" si="78"/>
        <v>0</v>
      </c>
      <c r="AP84" s="11">
        <f t="shared" si="57"/>
        <v>0</v>
      </c>
      <c r="AQ84" s="9"/>
      <c r="AR84" s="9"/>
      <c r="AS84" s="7">
        <f t="shared" si="79"/>
        <v>0</v>
      </c>
      <c r="AT84" s="7">
        <f t="shared" si="80"/>
        <v>0</v>
      </c>
      <c r="AU84" s="11">
        <f t="shared" si="58"/>
        <v>0</v>
      </c>
      <c r="AV84" s="9"/>
      <c r="AW84" s="9"/>
      <c r="AX84" s="7">
        <f t="shared" si="81"/>
        <v>0</v>
      </c>
      <c r="AY84" s="7">
        <f t="shared" si="82"/>
        <v>0</v>
      </c>
      <c r="AZ84" s="11">
        <f t="shared" si="59"/>
        <v>0</v>
      </c>
      <c r="BA84" s="9"/>
      <c r="BB84" s="9"/>
      <c r="BC84" s="7">
        <f t="shared" si="83"/>
        <v>0</v>
      </c>
      <c r="BD84" s="7">
        <f t="shared" si="84"/>
        <v>0</v>
      </c>
      <c r="BE84" s="11">
        <f t="shared" si="60"/>
        <v>0</v>
      </c>
      <c r="BF84" s="9"/>
      <c r="BG84" s="9"/>
      <c r="BH84" s="7">
        <f t="shared" si="85"/>
        <v>0</v>
      </c>
      <c r="BI84" s="7">
        <f t="shared" si="86"/>
        <v>0</v>
      </c>
      <c r="BJ84" s="11">
        <f t="shared" si="61"/>
        <v>0</v>
      </c>
      <c r="BK84" s="9"/>
      <c r="BL84" s="9"/>
      <c r="BM84" s="7">
        <f t="shared" si="87"/>
        <v>0</v>
      </c>
      <c r="BN84" s="7">
        <f t="shared" si="88"/>
        <v>0</v>
      </c>
      <c r="BO84" s="11">
        <f t="shared" si="62"/>
        <v>0</v>
      </c>
    </row>
    <row r="85" spans="1:67" x14ac:dyDescent="0.25">
      <c r="A85" t="s">
        <v>91</v>
      </c>
      <c r="B85" s="1">
        <v>1151</v>
      </c>
      <c r="C85">
        <v>230</v>
      </c>
      <c r="D85" s="7">
        <f t="shared" si="50"/>
        <v>0</v>
      </c>
      <c r="E85" s="16"/>
      <c r="F85" s="19"/>
      <c r="G85" s="9"/>
      <c r="H85" s="7">
        <f t="shared" si="63"/>
        <v>0</v>
      </c>
      <c r="I85" s="7">
        <f t="shared" si="64"/>
        <v>0</v>
      </c>
      <c r="J85" s="11">
        <f t="shared" si="51"/>
        <v>0</v>
      </c>
      <c r="K85" s="9"/>
      <c r="L85" s="9"/>
      <c r="M85" s="7">
        <f t="shared" si="65"/>
        <v>0</v>
      </c>
      <c r="N85" s="7">
        <f t="shared" si="66"/>
        <v>0</v>
      </c>
      <c r="O85" s="11">
        <f t="shared" si="52"/>
        <v>0</v>
      </c>
      <c r="P85" s="9"/>
      <c r="Q85" s="9"/>
      <c r="R85" s="7">
        <f t="shared" si="67"/>
        <v>0</v>
      </c>
      <c r="S85" s="7">
        <f t="shared" si="68"/>
        <v>0</v>
      </c>
      <c r="T85" s="11">
        <f t="shared" si="53"/>
        <v>0</v>
      </c>
      <c r="U85" s="9"/>
      <c r="V85" s="9"/>
      <c r="W85" s="7">
        <f t="shared" si="69"/>
        <v>0</v>
      </c>
      <c r="X85" s="7">
        <f t="shared" si="70"/>
        <v>0</v>
      </c>
      <c r="Y85" s="22">
        <f t="shared" si="54"/>
        <v>0</v>
      </c>
      <c r="Z85" s="26">
        <f t="shared" si="71"/>
        <v>0</v>
      </c>
      <c r="AA85" s="9"/>
      <c r="AB85" s="9"/>
      <c r="AC85" s="7">
        <f t="shared" si="72"/>
        <v>0</v>
      </c>
      <c r="AD85" s="7">
        <f t="shared" si="73"/>
        <v>0</v>
      </c>
      <c r="AE85" s="11">
        <f t="shared" si="55"/>
        <v>0</v>
      </c>
      <c r="AF85" s="9"/>
      <c r="AG85" s="9"/>
      <c r="AH85" s="7">
        <f t="shared" si="74"/>
        <v>0</v>
      </c>
      <c r="AI85" s="7">
        <f t="shared" si="75"/>
        <v>0</v>
      </c>
      <c r="AJ85" s="22">
        <f t="shared" si="56"/>
        <v>0</v>
      </c>
      <c r="AK85" s="26">
        <f t="shared" si="76"/>
        <v>0</v>
      </c>
      <c r="AL85" s="9"/>
      <c r="AM85" s="9"/>
      <c r="AN85" s="7">
        <f t="shared" si="77"/>
        <v>0</v>
      </c>
      <c r="AO85" s="7">
        <f t="shared" si="78"/>
        <v>0</v>
      </c>
      <c r="AP85" s="11">
        <f t="shared" si="57"/>
        <v>0</v>
      </c>
      <c r="AQ85" s="9"/>
      <c r="AR85" s="9"/>
      <c r="AS85" s="7">
        <f t="shared" si="79"/>
        <v>0</v>
      </c>
      <c r="AT85" s="7">
        <f t="shared" si="80"/>
        <v>0</v>
      </c>
      <c r="AU85" s="11">
        <f t="shared" si="58"/>
        <v>0</v>
      </c>
      <c r="AV85" s="9"/>
      <c r="AW85" s="9"/>
      <c r="AX85" s="7">
        <f t="shared" si="81"/>
        <v>0</v>
      </c>
      <c r="AY85" s="7">
        <f t="shared" si="82"/>
        <v>0</v>
      </c>
      <c r="AZ85" s="11">
        <f t="shared" si="59"/>
        <v>0</v>
      </c>
      <c r="BA85" s="9"/>
      <c r="BB85" s="9"/>
      <c r="BC85" s="7">
        <f t="shared" si="83"/>
        <v>0</v>
      </c>
      <c r="BD85" s="7">
        <f t="shared" si="84"/>
        <v>0</v>
      </c>
      <c r="BE85" s="11">
        <f t="shared" si="60"/>
        <v>0</v>
      </c>
      <c r="BF85" s="9"/>
      <c r="BG85" s="9"/>
      <c r="BH85" s="7">
        <f t="shared" si="85"/>
        <v>0</v>
      </c>
      <c r="BI85" s="7">
        <f t="shared" si="86"/>
        <v>0</v>
      </c>
      <c r="BJ85" s="11">
        <f t="shared" si="61"/>
        <v>0</v>
      </c>
      <c r="BK85" s="9"/>
      <c r="BL85" s="9"/>
      <c r="BM85" s="7">
        <f t="shared" si="87"/>
        <v>0</v>
      </c>
      <c r="BN85" s="7">
        <f t="shared" si="88"/>
        <v>0</v>
      </c>
      <c r="BO85" s="11">
        <f t="shared" si="62"/>
        <v>0</v>
      </c>
    </row>
    <row r="86" spans="1:67" x14ac:dyDescent="0.25">
      <c r="A86" t="s">
        <v>92</v>
      </c>
      <c r="B86" s="1">
        <v>1379</v>
      </c>
      <c r="C86">
        <v>215</v>
      </c>
      <c r="D86" s="7">
        <f t="shared" si="50"/>
        <v>0</v>
      </c>
      <c r="E86" s="16"/>
      <c r="F86" s="19"/>
      <c r="G86" s="9"/>
      <c r="H86" s="7">
        <f t="shared" si="63"/>
        <v>0</v>
      </c>
      <c r="I86" s="7">
        <f t="shared" si="64"/>
        <v>0</v>
      </c>
      <c r="J86" s="11">
        <f t="shared" si="51"/>
        <v>0</v>
      </c>
      <c r="K86" s="9"/>
      <c r="L86" s="9"/>
      <c r="M86" s="7">
        <f t="shared" si="65"/>
        <v>0</v>
      </c>
      <c r="N86" s="7">
        <f t="shared" si="66"/>
        <v>0</v>
      </c>
      <c r="O86" s="11">
        <f t="shared" si="52"/>
        <v>0</v>
      </c>
      <c r="P86" s="9"/>
      <c r="Q86" s="9"/>
      <c r="R86" s="7">
        <f t="shared" si="67"/>
        <v>0</v>
      </c>
      <c r="S86" s="7">
        <f t="shared" si="68"/>
        <v>0</v>
      </c>
      <c r="T86" s="11">
        <f t="shared" si="53"/>
        <v>0</v>
      </c>
      <c r="U86" s="9"/>
      <c r="V86" s="9"/>
      <c r="W86" s="7">
        <f t="shared" si="69"/>
        <v>0</v>
      </c>
      <c r="X86" s="7">
        <f t="shared" si="70"/>
        <v>0</v>
      </c>
      <c r="Y86" s="22">
        <f t="shared" si="54"/>
        <v>0</v>
      </c>
      <c r="Z86" s="26">
        <f t="shared" si="71"/>
        <v>0</v>
      </c>
      <c r="AA86" s="9"/>
      <c r="AB86" s="9"/>
      <c r="AC86" s="7">
        <f t="shared" si="72"/>
        <v>0</v>
      </c>
      <c r="AD86" s="7">
        <f t="shared" si="73"/>
        <v>0</v>
      </c>
      <c r="AE86" s="11">
        <f t="shared" si="55"/>
        <v>0</v>
      </c>
      <c r="AF86" s="9"/>
      <c r="AG86" s="9"/>
      <c r="AH86" s="7">
        <f t="shared" si="74"/>
        <v>0</v>
      </c>
      <c r="AI86" s="7">
        <f t="shared" si="75"/>
        <v>0</v>
      </c>
      <c r="AJ86" s="22">
        <f t="shared" si="56"/>
        <v>0</v>
      </c>
      <c r="AK86" s="26">
        <f t="shared" si="76"/>
        <v>0</v>
      </c>
      <c r="AL86" s="9"/>
      <c r="AM86" s="9"/>
      <c r="AN86" s="7">
        <f t="shared" si="77"/>
        <v>0</v>
      </c>
      <c r="AO86" s="7">
        <f t="shared" si="78"/>
        <v>0</v>
      </c>
      <c r="AP86" s="11">
        <f t="shared" si="57"/>
        <v>0</v>
      </c>
      <c r="AQ86" s="9"/>
      <c r="AR86" s="9"/>
      <c r="AS86" s="7">
        <f t="shared" si="79"/>
        <v>0</v>
      </c>
      <c r="AT86" s="7">
        <f t="shared" si="80"/>
        <v>0</v>
      </c>
      <c r="AU86" s="11">
        <f t="shared" si="58"/>
        <v>0</v>
      </c>
      <c r="AV86" s="9"/>
      <c r="AW86" s="9"/>
      <c r="AX86" s="7">
        <f t="shared" si="81"/>
        <v>0</v>
      </c>
      <c r="AY86" s="7">
        <f t="shared" si="82"/>
        <v>0</v>
      </c>
      <c r="AZ86" s="11">
        <f t="shared" si="59"/>
        <v>0</v>
      </c>
      <c r="BA86" s="9"/>
      <c r="BB86" s="9"/>
      <c r="BC86" s="7">
        <f t="shared" si="83"/>
        <v>0</v>
      </c>
      <c r="BD86" s="7">
        <f t="shared" si="84"/>
        <v>0</v>
      </c>
      <c r="BE86" s="11">
        <f t="shared" si="60"/>
        <v>0</v>
      </c>
      <c r="BF86" s="9"/>
      <c r="BG86" s="9"/>
      <c r="BH86" s="7">
        <f t="shared" si="85"/>
        <v>0</v>
      </c>
      <c r="BI86" s="7">
        <f t="shared" si="86"/>
        <v>0</v>
      </c>
      <c r="BJ86" s="11">
        <f t="shared" si="61"/>
        <v>0</v>
      </c>
      <c r="BK86" s="9"/>
      <c r="BL86" s="9"/>
      <c r="BM86" s="7">
        <f t="shared" si="87"/>
        <v>0</v>
      </c>
      <c r="BN86" s="7">
        <f t="shared" si="88"/>
        <v>0</v>
      </c>
      <c r="BO86" s="11">
        <f t="shared" si="62"/>
        <v>0</v>
      </c>
    </row>
    <row r="87" spans="1:67" x14ac:dyDescent="0.25">
      <c r="A87" t="s">
        <v>94</v>
      </c>
      <c r="B87" s="1">
        <v>1648</v>
      </c>
      <c r="C87">
        <v>215</v>
      </c>
      <c r="D87" s="7">
        <f t="shared" si="50"/>
        <v>4840</v>
      </c>
      <c r="E87" s="16"/>
      <c r="F87" s="19"/>
      <c r="G87" s="9"/>
      <c r="H87" s="7">
        <f t="shared" si="63"/>
        <v>0</v>
      </c>
      <c r="I87" s="7">
        <f t="shared" si="64"/>
        <v>0</v>
      </c>
      <c r="J87" s="11">
        <f t="shared" si="51"/>
        <v>0</v>
      </c>
      <c r="K87" s="9"/>
      <c r="L87" s="9"/>
      <c r="M87" s="7">
        <f t="shared" si="65"/>
        <v>0</v>
      </c>
      <c r="N87" s="7">
        <f t="shared" si="66"/>
        <v>0</v>
      </c>
      <c r="O87" s="11">
        <f t="shared" si="52"/>
        <v>0</v>
      </c>
      <c r="P87" s="9">
        <v>20</v>
      </c>
      <c r="Q87" s="9">
        <v>9.5</v>
      </c>
      <c r="R87" s="7">
        <f t="shared" si="67"/>
        <v>1180</v>
      </c>
      <c r="S87" s="7">
        <f t="shared" si="68"/>
        <v>1120</v>
      </c>
      <c r="T87" s="11">
        <f t="shared" si="53"/>
        <v>2300</v>
      </c>
      <c r="U87" s="9">
        <v>25</v>
      </c>
      <c r="V87" s="9">
        <v>9</v>
      </c>
      <c r="W87" s="7">
        <f t="shared" si="69"/>
        <v>1480</v>
      </c>
      <c r="X87" s="7">
        <f t="shared" si="70"/>
        <v>1060</v>
      </c>
      <c r="Y87" s="22">
        <f t="shared" si="54"/>
        <v>2540</v>
      </c>
      <c r="Z87" s="26">
        <f t="shared" si="71"/>
        <v>4840</v>
      </c>
      <c r="AA87" s="9"/>
      <c r="AB87" s="9"/>
      <c r="AC87" s="7">
        <f t="shared" si="72"/>
        <v>0</v>
      </c>
      <c r="AD87" s="7">
        <f t="shared" si="73"/>
        <v>0</v>
      </c>
      <c r="AE87" s="11">
        <f t="shared" si="55"/>
        <v>0</v>
      </c>
      <c r="AF87" s="9"/>
      <c r="AG87" s="9"/>
      <c r="AH87" s="7">
        <f t="shared" si="74"/>
        <v>0</v>
      </c>
      <c r="AI87" s="7">
        <f t="shared" si="75"/>
        <v>0</v>
      </c>
      <c r="AJ87" s="22">
        <f t="shared" si="56"/>
        <v>0</v>
      </c>
      <c r="AK87" s="26">
        <f t="shared" si="76"/>
        <v>0</v>
      </c>
      <c r="AL87" s="9"/>
      <c r="AM87" s="9"/>
      <c r="AN87" s="7">
        <f t="shared" si="77"/>
        <v>0</v>
      </c>
      <c r="AO87" s="7">
        <f t="shared" si="78"/>
        <v>0</v>
      </c>
      <c r="AP87" s="11">
        <f t="shared" si="57"/>
        <v>0</v>
      </c>
      <c r="AQ87" s="9"/>
      <c r="AR87" s="9"/>
      <c r="AS87" s="7">
        <f t="shared" si="79"/>
        <v>0</v>
      </c>
      <c r="AT87" s="7">
        <f t="shared" si="80"/>
        <v>0</v>
      </c>
      <c r="AU87" s="11">
        <f t="shared" si="58"/>
        <v>0</v>
      </c>
      <c r="AV87" s="9"/>
      <c r="AW87" s="9"/>
      <c r="AX87" s="7">
        <f t="shared" si="81"/>
        <v>0</v>
      </c>
      <c r="AY87" s="7">
        <f t="shared" si="82"/>
        <v>0</v>
      </c>
      <c r="AZ87" s="11">
        <f t="shared" si="59"/>
        <v>0</v>
      </c>
      <c r="BA87" s="9"/>
      <c r="BB87" s="9"/>
      <c r="BC87" s="7">
        <f t="shared" si="83"/>
        <v>0</v>
      </c>
      <c r="BD87" s="7">
        <f t="shared" si="84"/>
        <v>0</v>
      </c>
      <c r="BE87" s="11">
        <f t="shared" si="60"/>
        <v>0</v>
      </c>
      <c r="BF87" s="9"/>
      <c r="BG87" s="9"/>
      <c r="BH87" s="7">
        <f t="shared" si="85"/>
        <v>0</v>
      </c>
      <c r="BI87" s="7">
        <f t="shared" si="86"/>
        <v>0</v>
      </c>
      <c r="BJ87" s="11">
        <f t="shared" si="61"/>
        <v>0</v>
      </c>
      <c r="BK87" s="9"/>
      <c r="BL87" s="9"/>
      <c r="BM87" s="7">
        <f t="shared" si="87"/>
        <v>0</v>
      </c>
      <c r="BN87" s="7">
        <f t="shared" si="88"/>
        <v>0</v>
      </c>
      <c r="BO87" s="11">
        <f t="shared" si="62"/>
        <v>0</v>
      </c>
    </row>
    <row r="88" spans="1:67" x14ac:dyDescent="0.25">
      <c r="A88" t="s">
        <v>93</v>
      </c>
      <c r="B88" s="1">
        <v>1442</v>
      </c>
      <c r="C88">
        <v>215</v>
      </c>
      <c r="D88" s="7">
        <f t="shared" si="50"/>
        <v>2010</v>
      </c>
      <c r="E88" s="16"/>
      <c r="F88" s="19"/>
      <c r="G88" s="9"/>
      <c r="H88" s="7">
        <f t="shared" si="63"/>
        <v>0</v>
      </c>
      <c r="I88" s="7">
        <f t="shared" si="64"/>
        <v>0</v>
      </c>
      <c r="J88" s="11">
        <f t="shared" si="51"/>
        <v>0</v>
      </c>
      <c r="K88" s="9"/>
      <c r="L88" s="9"/>
      <c r="M88" s="7">
        <f t="shared" si="65"/>
        <v>0</v>
      </c>
      <c r="N88" s="7">
        <f t="shared" si="66"/>
        <v>0</v>
      </c>
      <c r="O88" s="11">
        <f t="shared" si="52"/>
        <v>0</v>
      </c>
      <c r="P88" s="9">
        <v>17.5</v>
      </c>
      <c r="Q88" s="9"/>
      <c r="R88" s="7">
        <f t="shared" si="67"/>
        <v>1030</v>
      </c>
      <c r="S88" s="7">
        <f t="shared" si="68"/>
        <v>0</v>
      </c>
      <c r="T88" s="11">
        <f t="shared" si="53"/>
        <v>1030</v>
      </c>
      <c r="U88" s="9">
        <v>16.5</v>
      </c>
      <c r="V88" s="9"/>
      <c r="W88" s="7">
        <f t="shared" si="69"/>
        <v>980</v>
      </c>
      <c r="X88" s="7">
        <f t="shared" si="70"/>
        <v>0</v>
      </c>
      <c r="Y88" s="22">
        <f t="shared" si="54"/>
        <v>980</v>
      </c>
      <c r="Z88" s="26">
        <f t="shared" si="71"/>
        <v>2010</v>
      </c>
      <c r="AA88" s="9"/>
      <c r="AB88" s="9"/>
      <c r="AC88" s="7">
        <f t="shared" si="72"/>
        <v>0</v>
      </c>
      <c r="AD88" s="7">
        <f t="shared" si="73"/>
        <v>0</v>
      </c>
      <c r="AE88" s="11">
        <f t="shared" si="55"/>
        <v>0</v>
      </c>
      <c r="AF88" s="9"/>
      <c r="AG88" s="9"/>
      <c r="AH88" s="7">
        <f t="shared" si="74"/>
        <v>0</v>
      </c>
      <c r="AI88" s="7">
        <f t="shared" si="75"/>
        <v>0</v>
      </c>
      <c r="AJ88" s="22">
        <f t="shared" si="56"/>
        <v>0</v>
      </c>
      <c r="AK88" s="26">
        <f t="shared" si="76"/>
        <v>0</v>
      </c>
      <c r="AL88" s="9"/>
      <c r="AM88" s="9"/>
      <c r="AN88" s="7">
        <f t="shared" si="77"/>
        <v>0</v>
      </c>
      <c r="AO88" s="7">
        <f t="shared" si="78"/>
        <v>0</v>
      </c>
      <c r="AP88" s="11">
        <f t="shared" si="57"/>
        <v>0</v>
      </c>
      <c r="AQ88" s="9"/>
      <c r="AR88" s="9"/>
      <c r="AS88" s="7">
        <f t="shared" si="79"/>
        <v>0</v>
      </c>
      <c r="AT88" s="7">
        <f t="shared" si="80"/>
        <v>0</v>
      </c>
      <c r="AU88" s="11">
        <f t="shared" si="58"/>
        <v>0</v>
      </c>
      <c r="AV88" s="9"/>
      <c r="AW88" s="9"/>
      <c r="AX88" s="7">
        <f t="shared" si="81"/>
        <v>0</v>
      </c>
      <c r="AY88" s="7">
        <f t="shared" si="82"/>
        <v>0</v>
      </c>
      <c r="AZ88" s="11">
        <f t="shared" si="59"/>
        <v>0</v>
      </c>
      <c r="BA88" s="9"/>
      <c r="BB88" s="9"/>
      <c r="BC88" s="7">
        <f t="shared" si="83"/>
        <v>0</v>
      </c>
      <c r="BD88" s="7">
        <f t="shared" si="84"/>
        <v>0</v>
      </c>
      <c r="BE88" s="11">
        <f t="shared" si="60"/>
        <v>0</v>
      </c>
      <c r="BF88" s="9"/>
      <c r="BG88" s="9"/>
      <c r="BH88" s="7">
        <f t="shared" si="85"/>
        <v>0</v>
      </c>
      <c r="BI88" s="7">
        <f t="shared" si="86"/>
        <v>0</v>
      </c>
      <c r="BJ88" s="11">
        <f t="shared" si="61"/>
        <v>0</v>
      </c>
      <c r="BK88" s="9"/>
      <c r="BL88" s="9"/>
      <c r="BM88" s="7">
        <f t="shared" si="87"/>
        <v>0</v>
      </c>
      <c r="BN88" s="7">
        <f t="shared" si="88"/>
        <v>0</v>
      </c>
      <c r="BO88" s="11">
        <f t="shared" si="62"/>
        <v>0</v>
      </c>
    </row>
    <row r="89" spans="1:67" x14ac:dyDescent="0.25">
      <c r="A89" t="s">
        <v>95</v>
      </c>
      <c r="B89" s="1">
        <v>1443</v>
      </c>
      <c r="C89">
        <v>200</v>
      </c>
      <c r="D89" s="7">
        <f t="shared" si="50"/>
        <v>800</v>
      </c>
      <c r="E89" s="16"/>
      <c r="F89" s="19"/>
      <c r="G89" s="9"/>
      <c r="H89" s="7">
        <f t="shared" si="63"/>
        <v>0</v>
      </c>
      <c r="I89" s="7">
        <f t="shared" si="64"/>
        <v>0</v>
      </c>
      <c r="J89" s="11">
        <f t="shared" si="51"/>
        <v>0</v>
      </c>
      <c r="K89" s="9"/>
      <c r="L89" s="9"/>
      <c r="M89" s="7">
        <f t="shared" si="65"/>
        <v>0</v>
      </c>
      <c r="N89" s="7">
        <f t="shared" si="66"/>
        <v>0</v>
      </c>
      <c r="O89" s="11">
        <f t="shared" si="52"/>
        <v>0</v>
      </c>
      <c r="P89" s="9">
        <v>9</v>
      </c>
      <c r="Q89" s="9"/>
      <c r="R89" s="7">
        <f t="shared" si="67"/>
        <v>500</v>
      </c>
      <c r="S89" s="7">
        <f t="shared" si="68"/>
        <v>0</v>
      </c>
      <c r="T89" s="11">
        <f t="shared" si="53"/>
        <v>500</v>
      </c>
      <c r="U89" s="9">
        <v>5.5</v>
      </c>
      <c r="V89" s="9"/>
      <c r="W89" s="7">
        <f t="shared" si="69"/>
        <v>300</v>
      </c>
      <c r="X89" s="7">
        <f t="shared" si="70"/>
        <v>0</v>
      </c>
      <c r="Y89" s="22">
        <f t="shared" si="54"/>
        <v>300</v>
      </c>
      <c r="Z89" s="26">
        <f t="shared" si="71"/>
        <v>800</v>
      </c>
      <c r="AA89" s="9"/>
      <c r="AB89" s="9"/>
      <c r="AC89" s="7">
        <f t="shared" si="72"/>
        <v>0</v>
      </c>
      <c r="AD89" s="7">
        <f t="shared" si="73"/>
        <v>0</v>
      </c>
      <c r="AE89" s="11">
        <f t="shared" si="55"/>
        <v>0</v>
      </c>
      <c r="AF89" s="9"/>
      <c r="AG89" s="9"/>
      <c r="AH89" s="7">
        <f t="shared" si="74"/>
        <v>0</v>
      </c>
      <c r="AI89" s="7">
        <f t="shared" si="75"/>
        <v>0</v>
      </c>
      <c r="AJ89" s="22">
        <f t="shared" si="56"/>
        <v>0</v>
      </c>
      <c r="AK89" s="26">
        <f t="shared" si="76"/>
        <v>0</v>
      </c>
      <c r="AL89" s="9"/>
      <c r="AM89" s="9"/>
      <c r="AN89" s="7">
        <f t="shared" si="77"/>
        <v>0</v>
      </c>
      <c r="AO89" s="7">
        <f t="shared" si="78"/>
        <v>0</v>
      </c>
      <c r="AP89" s="11">
        <f t="shared" si="57"/>
        <v>0</v>
      </c>
      <c r="AQ89" s="9"/>
      <c r="AR89" s="9"/>
      <c r="AS89" s="7">
        <f t="shared" si="79"/>
        <v>0</v>
      </c>
      <c r="AT89" s="7">
        <f t="shared" si="80"/>
        <v>0</v>
      </c>
      <c r="AU89" s="11">
        <f t="shared" si="58"/>
        <v>0</v>
      </c>
      <c r="AV89" s="9"/>
      <c r="AW89" s="9"/>
      <c r="AX89" s="7">
        <f t="shared" si="81"/>
        <v>0</v>
      </c>
      <c r="AY89" s="7">
        <f t="shared" si="82"/>
        <v>0</v>
      </c>
      <c r="AZ89" s="11">
        <f t="shared" si="59"/>
        <v>0</v>
      </c>
      <c r="BA89" s="9"/>
      <c r="BB89" s="9"/>
      <c r="BC89" s="7">
        <f t="shared" si="83"/>
        <v>0</v>
      </c>
      <c r="BD89" s="7">
        <f t="shared" si="84"/>
        <v>0</v>
      </c>
      <c r="BE89" s="11">
        <f t="shared" si="60"/>
        <v>0</v>
      </c>
      <c r="BF89" s="9"/>
      <c r="BG89" s="9"/>
      <c r="BH89" s="7">
        <f t="shared" si="85"/>
        <v>0</v>
      </c>
      <c r="BI89" s="7">
        <f t="shared" si="86"/>
        <v>0</v>
      </c>
      <c r="BJ89" s="11">
        <f t="shared" si="61"/>
        <v>0</v>
      </c>
      <c r="BK89" s="9"/>
      <c r="BL89" s="9"/>
      <c r="BM89" s="7">
        <f t="shared" si="87"/>
        <v>0</v>
      </c>
      <c r="BN89" s="7">
        <f t="shared" si="88"/>
        <v>0</v>
      </c>
      <c r="BO89" s="11">
        <f t="shared" si="62"/>
        <v>0</v>
      </c>
    </row>
    <row r="90" spans="1:67" x14ac:dyDescent="0.25">
      <c r="A90" t="s">
        <v>96</v>
      </c>
      <c r="B90" s="1">
        <v>1572</v>
      </c>
      <c r="C90">
        <v>200</v>
      </c>
      <c r="D90" s="7">
        <f t="shared" si="50"/>
        <v>0</v>
      </c>
      <c r="E90" s="16"/>
      <c r="F90" s="19"/>
      <c r="G90" s="9"/>
      <c r="H90" s="7">
        <f t="shared" si="63"/>
        <v>0</v>
      </c>
      <c r="I90" s="7">
        <f t="shared" si="64"/>
        <v>0</v>
      </c>
      <c r="J90" s="11">
        <f t="shared" si="51"/>
        <v>0</v>
      </c>
      <c r="K90" s="9"/>
      <c r="L90" s="9"/>
      <c r="M90" s="7">
        <f t="shared" si="65"/>
        <v>0</v>
      </c>
      <c r="N90" s="7">
        <f t="shared" si="66"/>
        <v>0</v>
      </c>
      <c r="O90" s="11">
        <f t="shared" si="52"/>
        <v>0</v>
      </c>
      <c r="P90" s="9"/>
      <c r="Q90" s="9"/>
      <c r="R90" s="7">
        <f t="shared" si="67"/>
        <v>0</v>
      </c>
      <c r="S90" s="7">
        <f t="shared" si="68"/>
        <v>0</v>
      </c>
      <c r="T90" s="11">
        <f t="shared" si="53"/>
        <v>0</v>
      </c>
      <c r="U90" s="9"/>
      <c r="V90" s="9"/>
      <c r="W90" s="7">
        <f t="shared" si="69"/>
        <v>0</v>
      </c>
      <c r="X90" s="7">
        <f t="shared" si="70"/>
        <v>0</v>
      </c>
      <c r="Y90" s="22">
        <f t="shared" si="54"/>
        <v>0</v>
      </c>
      <c r="Z90" s="26">
        <f t="shared" si="71"/>
        <v>0</v>
      </c>
      <c r="AA90" s="9"/>
      <c r="AB90" s="9"/>
      <c r="AC90" s="7">
        <f t="shared" si="72"/>
        <v>0</v>
      </c>
      <c r="AD90" s="7">
        <f t="shared" si="73"/>
        <v>0</v>
      </c>
      <c r="AE90" s="11">
        <f t="shared" si="55"/>
        <v>0</v>
      </c>
      <c r="AF90" s="9"/>
      <c r="AG90" s="9"/>
      <c r="AH90" s="7">
        <f t="shared" si="74"/>
        <v>0</v>
      </c>
      <c r="AI90" s="7">
        <f t="shared" si="75"/>
        <v>0</v>
      </c>
      <c r="AJ90" s="22">
        <f t="shared" si="56"/>
        <v>0</v>
      </c>
      <c r="AK90" s="26">
        <f t="shared" si="76"/>
        <v>0</v>
      </c>
      <c r="AL90" s="9"/>
      <c r="AM90" s="9"/>
      <c r="AN90" s="7">
        <f t="shared" si="77"/>
        <v>0</v>
      </c>
      <c r="AO90" s="7">
        <f t="shared" si="78"/>
        <v>0</v>
      </c>
      <c r="AP90" s="11">
        <f t="shared" si="57"/>
        <v>0</v>
      </c>
      <c r="AQ90" s="9"/>
      <c r="AR90" s="9"/>
      <c r="AS90" s="7">
        <f t="shared" si="79"/>
        <v>0</v>
      </c>
      <c r="AT90" s="7">
        <f t="shared" si="80"/>
        <v>0</v>
      </c>
      <c r="AU90" s="11">
        <f t="shared" si="58"/>
        <v>0</v>
      </c>
      <c r="AV90" s="9"/>
      <c r="AW90" s="9"/>
      <c r="AX90" s="7">
        <f t="shared" si="81"/>
        <v>0</v>
      </c>
      <c r="AY90" s="7">
        <f t="shared" si="82"/>
        <v>0</v>
      </c>
      <c r="AZ90" s="11">
        <f t="shared" si="59"/>
        <v>0</v>
      </c>
      <c r="BA90" s="9"/>
      <c r="BB90" s="9"/>
      <c r="BC90" s="7">
        <f t="shared" si="83"/>
        <v>0</v>
      </c>
      <c r="BD90" s="7">
        <f t="shared" si="84"/>
        <v>0</v>
      </c>
      <c r="BE90" s="11">
        <f t="shared" si="60"/>
        <v>0</v>
      </c>
      <c r="BF90" s="9"/>
      <c r="BG90" s="9"/>
      <c r="BH90" s="7">
        <f t="shared" si="85"/>
        <v>0</v>
      </c>
      <c r="BI90" s="7">
        <f t="shared" si="86"/>
        <v>0</v>
      </c>
      <c r="BJ90" s="11">
        <f t="shared" si="61"/>
        <v>0</v>
      </c>
      <c r="BK90" s="9"/>
      <c r="BL90" s="9"/>
      <c r="BM90" s="7">
        <f t="shared" si="87"/>
        <v>0</v>
      </c>
      <c r="BN90" s="7">
        <f t="shared" si="88"/>
        <v>0</v>
      </c>
      <c r="BO90" s="11">
        <f t="shared" si="62"/>
        <v>0</v>
      </c>
    </row>
    <row r="91" spans="1:67" x14ac:dyDescent="0.25">
      <c r="A91" t="s">
        <v>97</v>
      </c>
      <c r="B91" s="1">
        <v>1590</v>
      </c>
      <c r="C91">
        <v>215</v>
      </c>
      <c r="D91" s="7">
        <f t="shared" si="50"/>
        <v>890</v>
      </c>
      <c r="E91" s="16"/>
      <c r="F91" s="19"/>
      <c r="G91" s="9"/>
      <c r="H91" s="7">
        <f t="shared" si="63"/>
        <v>0</v>
      </c>
      <c r="I91" s="7">
        <f t="shared" si="64"/>
        <v>0</v>
      </c>
      <c r="J91" s="11">
        <f t="shared" si="51"/>
        <v>0</v>
      </c>
      <c r="K91" s="9"/>
      <c r="L91" s="9"/>
      <c r="M91" s="7">
        <f t="shared" si="65"/>
        <v>0</v>
      </c>
      <c r="N91" s="7">
        <f t="shared" si="66"/>
        <v>0</v>
      </c>
      <c r="O91" s="11">
        <f t="shared" si="52"/>
        <v>0</v>
      </c>
      <c r="P91" s="9"/>
      <c r="Q91" s="9">
        <v>7.5</v>
      </c>
      <c r="R91" s="7">
        <f t="shared" si="67"/>
        <v>0</v>
      </c>
      <c r="S91" s="7">
        <f t="shared" si="68"/>
        <v>890</v>
      </c>
      <c r="T91" s="11">
        <f t="shared" si="53"/>
        <v>890</v>
      </c>
      <c r="U91" s="9"/>
      <c r="V91" s="9"/>
      <c r="W91" s="7">
        <f t="shared" si="69"/>
        <v>0</v>
      </c>
      <c r="X91" s="7">
        <f t="shared" si="70"/>
        <v>0</v>
      </c>
      <c r="Y91" s="22">
        <f t="shared" si="54"/>
        <v>0</v>
      </c>
      <c r="Z91" s="26">
        <f t="shared" si="71"/>
        <v>890</v>
      </c>
      <c r="AA91" s="9"/>
      <c r="AB91" s="9"/>
      <c r="AC91" s="7">
        <f t="shared" si="72"/>
        <v>0</v>
      </c>
      <c r="AD91" s="7">
        <f t="shared" si="73"/>
        <v>0</v>
      </c>
      <c r="AE91" s="11">
        <f t="shared" si="55"/>
        <v>0</v>
      </c>
      <c r="AF91" s="9"/>
      <c r="AG91" s="9"/>
      <c r="AH91" s="7">
        <f t="shared" si="74"/>
        <v>0</v>
      </c>
      <c r="AI91" s="7">
        <f t="shared" si="75"/>
        <v>0</v>
      </c>
      <c r="AJ91" s="22">
        <f t="shared" si="56"/>
        <v>0</v>
      </c>
      <c r="AK91" s="26">
        <f t="shared" si="76"/>
        <v>0</v>
      </c>
      <c r="AL91" s="9"/>
      <c r="AM91" s="9"/>
      <c r="AN91" s="7">
        <f t="shared" si="77"/>
        <v>0</v>
      </c>
      <c r="AO91" s="7">
        <f t="shared" si="78"/>
        <v>0</v>
      </c>
      <c r="AP91" s="11">
        <f t="shared" si="57"/>
        <v>0</v>
      </c>
      <c r="AQ91" s="9"/>
      <c r="AR91" s="9"/>
      <c r="AS91" s="7">
        <f t="shared" si="79"/>
        <v>0</v>
      </c>
      <c r="AT91" s="7">
        <f t="shared" si="80"/>
        <v>0</v>
      </c>
      <c r="AU91" s="11">
        <f t="shared" si="58"/>
        <v>0</v>
      </c>
      <c r="AV91" s="9"/>
      <c r="AW91" s="9"/>
      <c r="AX91" s="7">
        <f t="shared" si="81"/>
        <v>0</v>
      </c>
      <c r="AY91" s="7">
        <f t="shared" si="82"/>
        <v>0</v>
      </c>
      <c r="AZ91" s="11">
        <f t="shared" si="59"/>
        <v>0</v>
      </c>
      <c r="BA91" s="9"/>
      <c r="BB91" s="9"/>
      <c r="BC91" s="7">
        <f t="shared" si="83"/>
        <v>0</v>
      </c>
      <c r="BD91" s="7">
        <f t="shared" si="84"/>
        <v>0</v>
      </c>
      <c r="BE91" s="11">
        <f t="shared" si="60"/>
        <v>0</v>
      </c>
      <c r="BF91" s="9"/>
      <c r="BG91" s="9"/>
      <c r="BH91" s="7">
        <f t="shared" si="85"/>
        <v>0</v>
      </c>
      <c r="BI91" s="7">
        <f t="shared" si="86"/>
        <v>0</v>
      </c>
      <c r="BJ91" s="11">
        <f t="shared" si="61"/>
        <v>0</v>
      </c>
      <c r="BK91" s="9"/>
      <c r="BL91" s="9"/>
      <c r="BM91" s="7">
        <f t="shared" si="87"/>
        <v>0</v>
      </c>
      <c r="BN91" s="7">
        <f t="shared" si="88"/>
        <v>0</v>
      </c>
      <c r="BO91" s="11">
        <f t="shared" si="62"/>
        <v>0</v>
      </c>
    </row>
    <row r="92" spans="1:67" x14ac:dyDescent="0.25">
      <c r="A92" t="s">
        <v>98</v>
      </c>
      <c r="B92" s="1">
        <v>1663</v>
      </c>
      <c r="C92">
        <v>200</v>
      </c>
      <c r="D92" s="7">
        <f t="shared" si="50"/>
        <v>2480</v>
      </c>
      <c r="E92" s="16"/>
      <c r="F92" s="19"/>
      <c r="G92" s="9"/>
      <c r="H92" s="7">
        <f t="shared" si="63"/>
        <v>0</v>
      </c>
      <c r="I92" s="7">
        <f t="shared" si="64"/>
        <v>0</v>
      </c>
      <c r="J92" s="11">
        <f t="shared" si="51"/>
        <v>0</v>
      </c>
      <c r="K92" s="9"/>
      <c r="L92" s="9"/>
      <c r="M92" s="7">
        <f t="shared" si="65"/>
        <v>0</v>
      </c>
      <c r="N92" s="7">
        <f t="shared" si="66"/>
        <v>0</v>
      </c>
      <c r="O92" s="11">
        <f t="shared" si="52"/>
        <v>0</v>
      </c>
      <c r="P92" s="9"/>
      <c r="Q92" s="9">
        <v>15</v>
      </c>
      <c r="R92" s="7">
        <f t="shared" si="67"/>
        <v>0</v>
      </c>
      <c r="S92" s="7">
        <f t="shared" si="68"/>
        <v>1650</v>
      </c>
      <c r="T92" s="11">
        <f t="shared" si="53"/>
        <v>1650</v>
      </c>
      <c r="U92" s="9"/>
      <c r="V92" s="9">
        <v>7.5</v>
      </c>
      <c r="W92" s="7">
        <f t="shared" si="69"/>
        <v>0</v>
      </c>
      <c r="X92" s="7">
        <f t="shared" si="70"/>
        <v>830</v>
      </c>
      <c r="Y92" s="22">
        <f t="shared" si="54"/>
        <v>830</v>
      </c>
      <c r="Z92" s="26">
        <f t="shared" si="71"/>
        <v>2480</v>
      </c>
      <c r="AA92" s="9"/>
      <c r="AB92" s="9"/>
      <c r="AC92" s="7">
        <f t="shared" si="72"/>
        <v>0</v>
      </c>
      <c r="AD92" s="7">
        <f t="shared" si="73"/>
        <v>0</v>
      </c>
      <c r="AE92" s="11">
        <f t="shared" si="55"/>
        <v>0</v>
      </c>
      <c r="AF92" s="9"/>
      <c r="AG92" s="9"/>
      <c r="AH92" s="7">
        <f t="shared" si="74"/>
        <v>0</v>
      </c>
      <c r="AI92" s="7">
        <f t="shared" si="75"/>
        <v>0</v>
      </c>
      <c r="AJ92" s="22">
        <f t="shared" si="56"/>
        <v>0</v>
      </c>
      <c r="AK92" s="26">
        <f t="shared" si="76"/>
        <v>0</v>
      </c>
      <c r="AL92" s="9"/>
      <c r="AM92" s="9"/>
      <c r="AN92" s="7">
        <f t="shared" si="77"/>
        <v>0</v>
      </c>
      <c r="AO92" s="7">
        <f t="shared" si="78"/>
        <v>0</v>
      </c>
      <c r="AP92" s="11">
        <f t="shared" si="57"/>
        <v>0</v>
      </c>
      <c r="AQ92" s="9"/>
      <c r="AR92" s="9"/>
      <c r="AS92" s="7">
        <f t="shared" si="79"/>
        <v>0</v>
      </c>
      <c r="AT92" s="7">
        <f t="shared" si="80"/>
        <v>0</v>
      </c>
      <c r="AU92" s="11">
        <f t="shared" si="58"/>
        <v>0</v>
      </c>
      <c r="AV92" s="9"/>
      <c r="AW92" s="9"/>
      <c r="AX92" s="7">
        <f t="shared" si="81"/>
        <v>0</v>
      </c>
      <c r="AY92" s="7">
        <f t="shared" si="82"/>
        <v>0</v>
      </c>
      <c r="AZ92" s="11">
        <f t="shared" si="59"/>
        <v>0</v>
      </c>
      <c r="BA92" s="9"/>
      <c r="BB92" s="9"/>
      <c r="BC92" s="7">
        <f t="shared" si="83"/>
        <v>0</v>
      </c>
      <c r="BD92" s="7">
        <f t="shared" si="84"/>
        <v>0</v>
      </c>
      <c r="BE92" s="11">
        <f t="shared" si="60"/>
        <v>0</v>
      </c>
      <c r="BF92" s="9"/>
      <c r="BG92" s="9"/>
      <c r="BH92" s="7">
        <f t="shared" si="85"/>
        <v>0</v>
      </c>
      <c r="BI92" s="7">
        <f t="shared" si="86"/>
        <v>0</v>
      </c>
      <c r="BJ92" s="11">
        <f t="shared" si="61"/>
        <v>0</v>
      </c>
      <c r="BK92" s="9"/>
      <c r="BL92" s="9"/>
      <c r="BM92" s="7">
        <f t="shared" si="87"/>
        <v>0</v>
      </c>
      <c r="BN92" s="7">
        <f t="shared" si="88"/>
        <v>0</v>
      </c>
      <c r="BO92" s="11">
        <f t="shared" si="62"/>
        <v>0</v>
      </c>
    </row>
    <row r="93" spans="1:67" x14ac:dyDescent="0.25">
      <c r="A93" t="s">
        <v>99</v>
      </c>
      <c r="B93" s="1">
        <v>1684</v>
      </c>
      <c r="C93">
        <v>215</v>
      </c>
      <c r="D93" s="7">
        <f t="shared" si="50"/>
        <v>2330</v>
      </c>
      <c r="E93" s="16"/>
      <c r="F93" s="19"/>
      <c r="G93" s="9"/>
      <c r="H93" s="7">
        <f t="shared" si="63"/>
        <v>0</v>
      </c>
      <c r="I93" s="7">
        <f t="shared" si="64"/>
        <v>0</v>
      </c>
      <c r="J93" s="11">
        <f t="shared" si="51"/>
        <v>0</v>
      </c>
      <c r="K93" s="9"/>
      <c r="L93" s="9"/>
      <c r="M93" s="7">
        <f t="shared" si="65"/>
        <v>0</v>
      </c>
      <c r="N93" s="7">
        <f t="shared" si="66"/>
        <v>0</v>
      </c>
      <c r="O93" s="11">
        <f t="shared" si="52"/>
        <v>0</v>
      </c>
      <c r="P93" s="9">
        <v>21</v>
      </c>
      <c r="Q93" s="9"/>
      <c r="R93" s="7">
        <f t="shared" si="67"/>
        <v>1240</v>
      </c>
      <c r="S93" s="7">
        <f t="shared" si="68"/>
        <v>0</v>
      </c>
      <c r="T93" s="11">
        <f t="shared" si="53"/>
        <v>1240</v>
      </c>
      <c r="U93" s="9">
        <v>18.5</v>
      </c>
      <c r="V93" s="9"/>
      <c r="W93" s="7">
        <f t="shared" si="69"/>
        <v>1090</v>
      </c>
      <c r="X93" s="7">
        <f t="shared" si="70"/>
        <v>0</v>
      </c>
      <c r="Y93" s="22">
        <f t="shared" si="54"/>
        <v>1090</v>
      </c>
      <c r="Z93" s="26">
        <f t="shared" si="71"/>
        <v>2330</v>
      </c>
      <c r="AA93" s="9"/>
      <c r="AB93" s="9"/>
      <c r="AC93" s="7">
        <f t="shared" si="72"/>
        <v>0</v>
      </c>
      <c r="AD93" s="7">
        <f t="shared" si="73"/>
        <v>0</v>
      </c>
      <c r="AE93" s="11">
        <f t="shared" si="55"/>
        <v>0</v>
      </c>
      <c r="AF93" s="9"/>
      <c r="AG93" s="9"/>
      <c r="AH93" s="7">
        <f t="shared" si="74"/>
        <v>0</v>
      </c>
      <c r="AI93" s="7">
        <f t="shared" si="75"/>
        <v>0</v>
      </c>
      <c r="AJ93" s="22">
        <f t="shared" si="56"/>
        <v>0</v>
      </c>
      <c r="AK93" s="26">
        <f t="shared" si="76"/>
        <v>0</v>
      </c>
      <c r="AL93" s="9"/>
      <c r="AM93" s="9"/>
      <c r="AN93" s="7">
        <f t="shared" si="77"/>
        <v>0</v>
      </c>
      <c r="AO93" s="7">
        <f t="shared" si="78"/>
        <v>0</v>
      </c>
      <c r="AP93" s="11">
        <f t="shared" si="57"/>
        <v>0</v>
      </c>
      <c r="AQ93" s="9"/>
      <c r="AR93" s="9"/>
      <c r="AS93" s="7">
        <f t="shared" si="79"/>
        <v>0</v>
      </c>
      <c r="AT93" s="7">
        <f t="shared" si="80"/>
        <v>0</v>
      </c>
      <c r="AU93" s="11">
        <f t="shared" si="58"/>
        <v>0</v>
      </c>
      <c r="AV93" s="9"/>
      <c r="AW93" s="9"/>
      <c r="AX93" s="7">
        <f t="shared" si="81"/>
        <v>0</v>
      </c>
      <c r="AY93" s="7">
        <f t="shared" si="82"/>
        <v>0</v>
      </c>
      <c r="AZ93" s="11">
        <f t="shared" si="59"/>
        <v>0</v>
      </c>
      <c r="BA93" s="9"/>
      <c r="BB93" s="9"/>
      <c r="BC93" s="7">
        <f t="shared" si="83"/>
        <v>0</v>
      </c>
      <c r="BD93" s="7">
        <f t="shared" si="84"/>
        <v>0</v>
      </c>
      <c r="BE93" s="11">
        <f t="shared" si="60"/>
        <v>0</v>
      </c>
      <c r="BF93" s="9"/>
      <c r="BG93" s="9"/>
      <c r="BH93" s="7">
        <f t="shared" si="85"/>
        <v>0</v>
      </c>
      <c r="BI93" s="7">
        <f t="shared" si="86"/>
        <v>0</v>
      </c>
      <c r="BJ93" s="11">
        <f t="shared" si="61"/>
        <v>0</v>
      </c>
      <c r="BK93" s="9"/>
      <c r="BL93" s="9"/>
      <c r="BM93" s="7">
        <f t="shared" si="87"/>
        <v>0</v>
      </c>
      <c r="BN93" s="7">
        <f t="shared" si="88"/>
        <v>0</v>
      </c>
      <c r="BO93" s="11">
        <f t="shared" si="62"/>
        <v>0</v>
      </c>
    </row>
    <row r="94" spans="1:67" x14ac:dyDescent="0.25">
      <c r="A94" t="s">
        <v>100</v>
      </c>
      <c r="B94" s="1">
        <v>1391</v>
      </c>
      <c r="C94">
        <v>215</v>
      </c>
      <c r="D94" s="7">
        <f t="shared" si="50"/>
        <v>4030</v>
      </c>
      <c r="E94" s="16"/>
      <c r="F94" s="19"/>
      <c r="G94" s="9"/>
      <c r="H94" s="7">
        <f t="shared" si="63"/>
        <v>0</v>
      </c>
      <c r="I94" s="7">
        <f t="shared" si="64"/>
        <v>0</v>
      </c>
      <c r="J94" s="11">
        <f t="shared" si="51"/>
        <v>0</v>
      </c>
      <c r="K94" s="9"/>
      <c r="L94" s="9"/>
      <c r="M94" s="7">
        <f t="shared" si="65"/>
        <v>0</v>
      </c>
      <c r="N94" s="7">
        <f t="shared" si="66"/>
        <v>0</v>
      </c>
      <c r="O94" s="11">
        <f t="shared" si="52"/>
        <v>0</v>
      </c>
      <c r="P94" s="9">
        <v>27.5</v>
      </c>
      <c r="Q94" s="9"/>
      <c r="R94" s="7">
        <f t="shared" si="67"/>
        <v>1630</v>
      </c>
      <c r="S94" s="7">
        <f t="shared" si="68"/>
        <v>0</v>
      </c>
      <c r="T94" s="11">
        <f t="shared" si="53"/>
        <v>1630</v>
      </c>
      <c r="U94" s="9">
        <v>23.5</v>
      </c>
      <c r="V94" s="9">
        <v>8.5</v>
      </c>
      <c r="W94" s="7">
        <f t="shared" si="69"/>
        <v>1390</v>
      </c>
      <c r="X94" s="7">
        <f t="shared" si="70"/>
        <v>1010</v>
      </c>
      <c r="Y94" s="22">
        <f t="shared" si="54"/>
        <v>2400</v>
      </c>
      <c r="Z94" s="26">
        <f t="shared" si="71"/>
        <v>4030</v>
      </c>
      <c r="AA94" s="9"/>
      <c r="AB94" s="9"/>
      <c r="AC94" s="7">
        <f t="shared" si="72"/>
        <v>0</v>
      </c>
      <c r="AD94" s="7">
        <f t="shared" si="73"/>
        <v>0</v>
      </c>
      <c r="AE94" s="11">
        <f t="shared" si="55"/>
        <v>0</v>
      </c>
      <c r="AF94" s="9"/>
      <c r="AG94" s="9"/>
      <c r="AH94" s="7">
        <f t="shared" si="74"/>
        <v>0</v>
      </c>
      <c r="AI94" s="7">
        <f t="shared" si="75"/>
        <v>0</v>
      </c>
      <c r="AJ94" s="22">
        <f t="shared" si="56"/>
        <v>0</v>
      </c>
      <c r="AK94" s="26">
        <f t="shared" si="76"/>
        <v>0</v>
      </c>
      <c r="AL94" s="9"/>
      <c r="AM94" s="9"/>
      <c r="AN94" s="7">
        <f t="shared" si="77"/>
        <v>0</v>
      </c>
      <c r="AO94" s="7">
        <f t="shared" si="78"/>
        <v>0</v>
      </c>
      <c r="AP94" s="11">
        <f t="shared" si="57"/>
        <v>0</v>
      </c>
      <c r="AQ94" s="9"/>
      <c r="AR94" s="9"/>
      <c r="AS94" s="7">
        <f t="shared" si="79"/>
        <v>0</v>
      </c>
      <c r="AT94" s="7">
        <f t="shared" si="80"/>
        <v>0</v>
      </c>
      <c r="AU94" s="11">
        <f t="shared" si="58"/>
        <v>0</v>
      </c>
      <c r="AV94" s="9"/>
      <c r="AW94" s="9"/>
      <c r="AX94" s="7">
        <f t="shared" si="81"/>
        <v>0</v>
      </c>
      <c r="AY94" s="7">
        <f t="shared" si="82"/>
        <v>0</v>
      </c>
      <c r="AZ94" s="11">
        <f t="shared" si="59"/>
        <v>0</v>
      </c>
      <c r="BA94" s="9"/>
      <c r="BB94" s="9"/>
      <c r="BC94" s="7">
        <f t="shared" si="83"/>
        <v>0</v>
      </c>
      <c r="BD94" s="7">
        <f t="shared" si="84"/>
        <v>0</v>
      </c>
      <c r="BE94" s="11">
        <f t="shared" si="60"/>
        <v>0</v>
      </c>
      <c r="BF94" s="9"/>
      <c r="BG94" s="9"/>
      <c r="BH94" s="7">
        <f t="shared" si="85"/>
        <v>0</v>
      </c>
      <c r="BI94" s="7">
        <f t="shared" si="86"/>
        <v>0</v>
      </c>
      <c r="BJ94" s="11">
        <f t="shared" si="61"/>
        <v>0</v>
      </c>
      <c r="BK94" s="9"/>
      <c r="BL94" s="9"/>
      <c r="BM94" s="7">
        <f t="shared" si="87"/>
        <v>0</v>
      </c>
      <c r="BN94" s="7">
        <f t="shared" si="88"/>
        <v>0</v>
      </c>
      <c r="BO94" s="11">
        <f t="shared" si="62"/>
        <v>0</v>
      </c>
    </row>
    <row r="95" spans="1:67" x14ac:dyDescent="0.25">
      <c r="A95" t="s">
        <v>101</v>
      </c>
      <c r="B95" s="1">
        <v>1146</v>
      </c>
      <c r="C95">
        <v>230</v>
      </c>
      <c r="D95" s="7">
        <f t="shared" si="50"/>
        <v>130</v>
      </c>
      <c r="E95" s="16"/>
      <c r="F95" s="19"/>
      <c r="G95" s="9"/>
      <c r="H95" s="7">
        <f t="shared" si="63"/>
        <v>0</v>
      </c>
      <c r="I95" s="7">
        <f t="shared" si="64"/>
        <v>0</v>
      </c>
      <c r="J95" s="11">
        <f t="shared" si="51"/>
        <v>0</v>
      </c>
      <c r="K95" s="9"/>
      <c r="L95" s="9"/>
      <c r="M95" s="7">
        <f t="shared" si="65"/>
        <v>0</v>
      </c>
      <c r="N95" s="7">
        <f t="shared" si="66"/>
        <v>0</v>
      </c>
      <c r="O95" s="11">
        <f t="shared" si="52"/>
        <v>0</v>
      </c>
      <c r="P95" s="9">
        <v>2</v>
      </c>
      <c r="Q95" s="9"/>
      <c r="R95" s="7">
        <f t="shared" si="67"/>
        <v>130</v>
      </c>
      <c r="S95" s="7">
        <f t="shared" si="68"/>
        <v>0</v>
      </c>
      <c r="T95" s="11">
        <f t="shared" si="53"/>
        <v>130</v>
      </c>
      <c r="U95" s="9"/>
      <c r="V95" s="9"/>
      <c r="W95" s="7">
        <f t="shared" si="69"/>
        <v>0</v>
      </c>
      <c r="X95" s="7">
        <f t="shared" si="70"/>
        <v>0</v>
      </c>
      <c r="Y95" s="22">
        <f t="shared" si="54"/>
        <v>0</v>
      </c>
      <c r="Z95" s="26">
        <f t="shared" si="71"/>
        <v>130</v>
      </c>
      <c r="AA95" s="9"/>
      <c r="AB95" s="9"/>
      <c r="AC95" s="7">
        <f t="shared" si="72"/>
        <v>0</v>
      </c>
      <c r="AD95" s="7">
        <f t="shared" si="73"/>
        <v>0</v>
      </c>
      <c r="AE95" s="11">
        <f t="shared" si="55"/>
        <v>0</v>
      </c>
      <c r="AF95" s="9"/>
      <c r="AG95" s="9"/>
      <c r="AH95" s="7">
        <f t="shared" si="74"/>
        <v>0</v>
      </c>
      <c r="AI95" s="7">
        <f t="shared" si="75"/>
        <v>0</v>
      </c>
      <c r="AJ95" s="22">
        <f t="shared" si="56"/>
        <v>0</v>
      </c>
      <c r="AK95" s="26">
        <f t="shared" si="76"/>
        <v>0</v>
      </c>
      <c r="AL95" s="9"/>
      <c r="AM95" s="9"/>
      <c r="AN95" s="7">
        <f t="shared" si="77"/>
        <v>0</v>
      </c>
      <c r="AO95" s="7">
        <f t="shared" si="78"/>
        <v>0</v>
      </c>
      <c r="AP95" s="11">
        <f t="shared" si="57"/>
        <v>0</v>
      </c>
      <c r="AQ95" s="9"/>
      <c r="AR95" s="9"/>
      <c r="AS95" s="7">
        <f t="shared" si="79"/>
        <v>0</v>
      </c>
      <c r="AT95" s="7">
        <f t="shared" si="80"/>
        <v>0</v>
      </c>
      <c r="AU95" s="11">
        <f t="shared" si="58"/>
        <v>0</v>
      </c>
      <c r="AV95" s="9"/>
      <c r="AW95" s="9"/>
      <c r="AX95" s="7">
        <f t="shared" si="81"/>
        <v>0</v>
      </c>
      <c r="AY95" s="7">
        <f t="shared" si="82"/>
        <v>0</v>
      </c>
      <c r="AZ95" s="11">
        <f t="shared" si="59"/>
        <v>0</v>
      </c>
      <c r="BA95" s="9"/>
      <c r="BB95" s="9"/>
      <c r="BC95" s="7">
        <f t="shared" si="83"/>
        <v>0</v>
      </c>
      <c r="BD95" s="7">
        <f t="shared" si="84"/>
        <v>0</v>
      </c>
      <c r="BE95" s="11">
        <f t="shared" si="60"/>
        <v>0</v>
      </c>
      <c r="BF95" s="9"/>
      <c r="BG95" s="9"/>
      <c r="BH95" s="7">
        <f t="shared" si="85"/>
        <v>0</v>
      </c>
      <c r="BI95" s="7">
        <f t="shared" si="86"/>
        <v>0</v>
      </c>
      <c r="BJ95" s="11">
        <f t="shared" si="61"/>
        <v>0</v>
      </c>
      <c r="BK95" s="9"/>
      <c r="BL95" s="9"/>
      <c r="BM95" s="7">
        <f t="shared" si="87"/>
        <v>0</v>
      </c>
      <c r="BN95" s="7">
        <f t="shared" si="88"/>
        <v>0</v>
      </c>
      <c r="BO95" s="11">
        <f t="shared" si="62"/>
        <v>0</v>
      </c>
    </row>
    <row r="96" spans="1:67" x14ac:dyDescent="0.25">
      <c r="A96" t="s">
        <v>102</v>
      </c>
      <c r="B96" s="1">
        <v>1539</v>
      </c>
      <c r="C96">
        <v>215</v>
      </c>
      <c r="D96" s="7">
        <f t="shared" si="50"/>
        <v>980</v>
      </c>
      <c r="E96" s="16"/>
      <c r="F96" s="19"/>
      <c r="G96" s="9"/>
      <c r="H96" s="7">
        <f t="shared" si="63"/>
        <v>0</v>
      </c>
      <c r="I96" s="7">
        <f t="shared" si="64"/>
        <v>0</v>
      </c>
      <c r="J96" s="11">
        <f t="shared" si="51"/>
        <v>0</v>
      </c>
      <c r="K96" s="9"/>
      <c r="L96" s="9"/>
      <c r="M96" s="7">
        <f t="shared" si="65"/>
        <v>0</v>
      </c>
      <c r="N96" s="7">
        <f t="shared" si="66"/>
        <v>0</v>
      </c>
      <c r="O96" s="11">
        <f t="shared" si="52"/>
        <v>0</v>
      </c>
      <c r="P96" s="9">
        <v>5.5</v>
      </c>
      <c r="Q96" s="9"/>
      <c r="R96" s="7">
        <f t="shared" si="67"/>
        <v>330</v>
      </c>
      <c r="S96" s="7">
        <f t="shared" si="68"/>
        <v>0</v>
      </c>
      <c r="T96" s="11">
        <f t="shared" si="53"/>
        <v>330</v>
      </c>
      <c r="U96" s="9">
        <v>11</v>
      </c>
      <c r="V96" s="9"/>
      <c r="W96" s="7">
        <f t="shared" si="69"/>
        <v>650</v>
      </c>
      <c r="X96" s="7">
        <f t="shared" si="70"/>
        <v>0</v>
      </c>
      <c r="Y96" s="22">
        <f t="shared" si="54"/>
        <v>650</v>
      </c>
      <c r="Z96" s="26">
        <f t="shared" si="71"/>
        <v>980</v>
      </c>
      <c r="AA96" s="9"/>
      <c r="AB96" s="9"/>
      <c r="AC96" s="7">
        <f t="shared" si="72"/>
        <v>0</v>
      </c>
      <c r="AD96" s="7">
        <f t="shared" si="73"/>
        <v>0</v>
      </c>
      <c r="AE96" s="11">
        <f t="shared" si="55"/>
        <v>0</v>
      </c>
      <c r="AF96" s="9"/>
      <c r="AG96" s="9"/>
      <c r="AH96" s="7">
        <f t="shared" si="74"/>
        <v>0</v>
      </c>
      <c r="AI96" s="7">
        <f t="shared" si="75"/>
        <v>0</v>
      </c>
      <c r="AJ96" s="22">
        <f t="shared" si="56"/>
        <v>0</v>
      </c>
      <c r="AK96" s="26">
        <f t="shared" si="76"/>
        <v>0</v>
      </c>
      <c r="AL96" s="9"/>
      <c r="AM96" s="9"/>
      <c r="AN96" s="7">
        <f t="shared" si="77"/>
        <v>0</v>
      </c>
      <c r="AO96" s="7">
        <f t="shared" si="78"/>
        <v>0</v>
      </c>
      <c r="AP96" s="11">
        <f t="shared" si="57"/>
        <v>0</v>
      </c>
      <c r="AQ96" s="9"/>
      <c r="AR96" s="9"/>
      <c r="AS96" s="7">
        <f t="shared" si="79"/>
        <v>0</v>
      </c>
      <c r="AT96" s="7">
        <f t="shared" si="80"/>
        <v>0</v>
      </c>
      <c r="AU96" s="11">
        <f t="shared" si="58"/>
        <v>0</v>
      </c>
      <c r="AV96" s="9"/>
      <c r="AW96" s="9"/>
      <c r="AX96" s="7">
        <f t="shared" si="81"/>
        <v>0</v>
      </c>
      <c r="AY96" s="7">
        <f t="shared" si="82"/>
        <v>0</v>
      </c>
      <c r="AZ96" s="11">
        <f t="shared" si="59"/>
        <v>0</v>
      </c>
      <c r="BA96" s="9"/>
      <c r="BB96" s="9"/>
      <c r="BC96" s="7">
        <f t="shared" si="83"/>
        <v>0</v>
      </c>
      <c r="BD96" s="7">
        <f t="shared" si="84"/>
        <v>0</v>
      </c>
      <c r="BE96" s="11">
        <f t="shared" si="60"/>
        <v>0</v>
      </c>
      <c r="BF96" s="9"/>
      <c r="BG96" s="9"/>
      <c r="BH96" s="7">
        <f t="shared" si="85"/>
        <v>0</v>
      </c>
      <c r="BI96" s="7">
        <f t="shared" si="86"/>
        <v>0</v>
      </c>
      <c r="BJ96" s="11">
        <f t="shared" si="61"/>
        <v>0</v>
      </c>
      <c r="BK96" s="9"/>
      <c r="BL96" s="9"/>
      <c r="BM96" s="7">
        <f t="shared" si="87"/>
        <v>0</v>
      </c>
      <c r="BN96" s="7">
        <f t="shared" si="88"/>
        <v>0</v>
      </c>
      <c r="BO96" s="11">
        <f t="shared" si="62"/>
        <v>0</v>
      </c>
    </row>
    <row r="97" spans="1:67" x14ac:dyDescent="0.25">
      <c r="A97" t="s">
        <v>103</v>
      </c>
      <c r="B97" s="1">
        <v>1594</v>
      </c>
      <c r="C97">
        <v>230</v>
      </c>
      <c r="D97" s="7">
        <f t="shared" si="50"/>
        <v>950</v>
      </c>
      <c r="E97" s="16"/>
      <c r="F97" s="19"/>
      <c r="G97" s="9"/>
      <c r="H97" s="7">
        <f t="shared" si="63"/>
        <v>0</v>
      </c>
      <c r="I97" s="7">
        <f t="shared" si="64"/>
        <v>0</v>
      </c>
      <c r="J97" s="11">
        <f t="shared" si="51"/>
        <v>0</v>
      </c>
      <c r="K97" s="9"/>
      <c r="L97" s="9"/>
      <c r="M97" s="7">
        <f t="shared" si="65"/>
        <v>0</v>
      </c>
      <c r="N97" s="7">
        <f t="shared" si="66"/>
        <v>0</v>
      </c>
      <c r="O97" s="11">
        <f t="shared" si="52"/>
        <v>0</v>
      </c>
      <c r="P97" s="9"/>
      <c r="Q97" s="9">
        <v>7.5</v>
      </c>
      <c r="R97" s="7">
        <f t="shared" si="67"/>
        <v>0</v>
      </c>
      <c r="S97" s="7">
        <f t="shared" si="68"/>
        <v>950</v>
      </c>
      <c r="T97" s="11">
        <f t="shared" si="53"/>
        <v>950</v>
      </c>
      <c r="U97" s="9"/>
      <c r="V97" s="9"/>
      <c r="W97" s="7">
        <f t="shared" si="69"/>
        <v>0</v>
      </c>
      <c r="X97" s="7">
        <f t="shared" si="70"/>
        <v>0</v>
      </c>
      <c r="Y97" s="22">
        <f t="shared" si="54"/>
        <v>0</v>
      </c>
      <c r="Z97" s="26">
        <f t="shared" si="71"/>
        <v>950</v>
      </c>
      <c r="AA97" s="9"/>
      <c r="AB97" s="9"/>
      <c r="AC97" s="7">
        <f t="shared" si="72"/>
        <v>0</v>
      </c>
      <c r="AD97" s="7">
        <f t="shared" si="73"/>
        <v>0</v>
      </c>
      <c r="AE97" s="11">
        <f t="shared" si="55"/>
        <v>0</v>
      </c>
      <c r="AF97" s="9"/>
      <c r="AG97" s="9"/>
      <c r="AH97" s="7">
        <f t="shared" si="74"/>
        <v>0</v>
      </c>
      <c r="AI97" s="7">
        <f t="shared" si="75"/>
        <v>0</v>
      </c>
      <c r="AJ97" s="22">
        <f t="shared" si="56"/>
        <v>0</v>
      </c>
      <c r="AK97" s="26">
        <f t="shared" si="76"/>
        <v>0</v>
      </c>
      <c r="AL97" s="9"/>
      <c r="AM97" s="9"/>
      <c r="AN97" s="7">
        <f t="shared" si="77"/>
        <v>0</v>
      </c>
      <c r="AO97" s="7">
        <f t="shared" si="78"/>
        <v>0</v>
      </c>
      <c r="AP97" s="11">
        <f t="shared" si="57"/>
        <v>0</v>
      </c>
      <c r="AQ97" s="9"/>
      <c r="AR97" s="9"/>
      <c r="AS97" s="7">
        <f t="shared" si="79"/>
        <v>0</v>
      </c>
      <c r="AT97" s="7">
        <f t="shared" si="80"/>
        <v>0</v>
      </c>
      <c r="AU97" s="11">
        <f t="shared" si="58"/>
        <v>0</v>
      </c>
      <c r="AV97" s="9"/>
      <c r="AW97" s="9"/>
      <c r="AX97" s="7">
        <f t="shared" si="81"/>
        <v>0</v>
      </c>
      <c r="AY97" s="7">
        <f t="shared" si="82"/>
        <v>0</v>
      </c>
      <c r="AZ97" s="11">
        <f t="shared" si="59"/>
        <v>0</v>
      </c>
      <c r="BA97" s="9"/>
      <c r="BB97" s="9"/>
      <c r="BC97" s="7">
        <f t="shared" si="83"/>
        <v>0</v>
      </c>
      <c r="BD97" s="7">
        <f t="shared" si="84"/>
        <v>0</v>
      </c>
      <c r="BE97" s="11">
        <f t="shared" si="60"/>
        <v>0</v>
      </c>
      <c r="BF97" s="9"/>
      <c r="BG97" s="9"/>
      <c r="BH97" s="7">
        <f t="shared" si="85"/>
        <v>0</v>
      </c>
      <c r="BI97" s="7">
        <f t="shared" si="86"/>
        <v>0</v>
      </c>
      <c r="BJ97" s="11">
        <f t="shared" si="61"/>
        <v>0</v>
      </c>
      <c r="BK97" s="9"/>
      <c r="BL97" s="9"/>
      <c r="BM97" s="7">
        <f t="shared" si="87"/>
        <v>0</v>
      </c>
      <c r="BN97" s="7">
        <f t="shared" si="88"/>
        <v>0</v>
      </c>
      <c r="BO97" s="11">
        <f t="shared" si="62"/>
        <v>0</v>
      </c>
    </row>
    <row r="98" spans="1:67" x14ac:dyDescent="0.25">
      <c r="A98" t="s">
        <v>104</v>
      </c>
      <c r="B98" s="1">
        <v>1626</v>
      </c>
      <c r="C98">
        <v>200</v>
      </c>
      <c r="D98" s="7">
        <f t="shared" si="50"/>
        <v>2480</v>
      </c>
      <c r="E98" s="16"/>
      <c r="F98" s="19"/>
      <c r="G98" s="9"/>
      <c r="H98" s="7">
        <f t="shared" si="63"/>
        <v>0</v>
      </c>
      <c r="I98" s="7">
        <f t="shared" si="64"/>
        <v>0</v>
      </c>
      <c r="J98" s="11">
        <f t="shared" si="51"/>
        <v>0</v>
      </c>
      <c r="K98" s="9"/>
      <c r="L98" s="9"/>
      <c r="M98" s="7">
        <f t="shared" si="65"/>
        <v>0</v>
      </c>
      <c r="N98" s="7">
        <f t="shared" si="66"/>
        <v>0</v>
      </c>
      <c r="O98" s="11">
        <f t="shared" si="52"/>
        <v>0</v>
      </c>
      <c r="P98" s="9"/>
      <c r="Q98" s="9">
        <v>15</v>
      </c>
      <c r="R98" s="7">
        <f t="shared" si="67"/>
        <v>0</v>
      </c>
      <c r="S98" s="7">
        <f t="shared" si="68"/>
        <v>1650</v>
      </c>
      <c r="T98" s="11">
        <f t="shared" si="53"/>
        <v>1650</v>
      </c>
      <c r="U98" s="9"/>
      <c r="V98" s="9">
        <v>7.5</v>
      </c>
      <c r="W98" s="7">
        <f t="shared" si="69"/>
        <v>0</v>
      </c>
      <c r="X98" s="7">
        <f t="shared" si="70"/>
        <v>830</v>
      </c>
      <c r="Y98" s="22">
        <f t="shared" si="54"/>
        <v>830</v>
      </c>
      <c r="Z98" s="26">
        <f t="shared" si="71"/>
        <v>2480</v>
      </c>
      <c r="AA98" s="9"/>
      <c r="AB98" s="9"/>
      <c r="AC98" s="7">
        <f t="shared" si="72"/>
        <v>0</v>
      </c>
      <c r="AD98" s="7">
        <f t="shared" si="73"/>
        <v>0</v>
      </c>
      <c r="AE98" s="11">
        <f t="shared" si="55"/>
        <v>0</v>
      </c>
      <c r="AF98" s="9"/>
      <c r="AG98" s="9"/>
      <c r="AH98" s="7">
        <f t="shared" si="74"/>
        <v>0</v>
      </c>
      <c r="AI98" s="7">
        <f t="shared" si="75"/>
        <v>0</v>
      </c>
      <c r="AJ98" s="22">
        <f t="shared" si="56"/>
        <v>0</v>
      </c>
      <c r="AK98" s="26">
        <f t="shared" si="76"/>
        <v>0</v>
      </c>
      <c r="AL98" s="9"/>
      <c r="AM98" s="9"/>
      <c r="AN98" s="7">
        <f t="shared" si="77"/>
        <v>0</v>
      </c>
      <c r="AO98" s="7">
        <f t="shared" si="78"/>
        <v>0</v>
      </c>
      <c r="AP98" s="11">
        <f t="shared" si="57"/>
        <v>0</v>
      </c>
      <c r="AQ98" s="9"/>
      <c r="AR98" s="9"/>
      <c r="AS98" s="7">
        <f t="shared" si="79"/>
        <v>0</v>
      </c>
      <c r="AT98" s="7">
        <f t="shared" si="80"/>
        <v>0</v>
      </c>
      <c r="AU98" s="11">
        <f t="shared" si="58"/>
        <v>0</v>
      </c>
      <c r="AV98" s="9"/>
      <c r="AW98" s="9"/>
      <c r="AX98" s="7">
        <f t="shared" si="81"/>
        <v>0</v>
      </c>
      <c r="AY98" s="7">
        <f t="shared" si="82"/>
        <v>0</v>
      </c>
      <c r="AZ98" s="11">
        <f t="shared" si="59"/>
        <v>0</v>
      </c>
      <c r="BA98" s="9"/>
      <c r="BB98" s="9"/>
      <c r="BC98" s="7">
        <f t="shared" si="83"/>
        <v>0</v>
      </c>
      <c r="BD98" s="7">
        <f t="shared" si="84"/>
        <v>0</v>
      </c>
      <c r="BE98" s="11">
        <f t="shared" si="60"/>
        <v>0</v>
      </c>
      <c r="BF98" s="9"/>
      <c r="BG98" s="9"/>
      <c r="BH98" s="7">
        <f t="shared" si="85"/>
        <v>0</v>
      </c>
      <c r="BI98" s="7">
        <f t="shared" si="86"/>
        <v>0</v>
      </c>
      <c r="BJ98" s="11">
        <f t="shared" si="61"/>
        <v>0</v>
      </c>
      <c r="BK98" s="9"/>
      <c r="BL98" s="9"/>
      <c r="BM98" s="7">
        <f t="shared" si="87"/>
        <v>0</v>
      </c>
      <c r="BN98" s="7">
        <f t="shared" si="88"/>
        <v>0</v>
      </c>
      <c r="BO98" s="11">
        <f t="shared" si="62"/>
        <v>0</v>
      </c>
    </row>
    <row r="99" spans="1:67" x14ac:dyDescent="0.25">
      <c r="A99" t="s">
        <v>105</v>
      </c>
      <c r="B99" s="1">
        <v>1344</v>
      </c>
      <c r="C99">
        <v>230</v>
      </c>
      <c r="D99" s="7">
        <f t="shared" si="50"/>
        <v>3250</v>
      </c>
      <c r="E99" s="16"/>
      <c r="F99" s="19"/>
      <c r="G99" s="9"/>
      <c r="H99" s="7">
        <f t="shared" si="63"/>
        <v>0</v>
      </c>
      <c r="I99" s="7">
        <f t="shared" si="64"/>
        <v>0</v>
      </c>
      <c r="J99" s="11">
        <f t="shared" si="51"/>
        <v>0</v>
      </c>
      <c r="K99" s="9"/>
      <c r="L99" s="9"/>
      <c r="M99" s="7">
        <f t="shared" si="65"/>
        <v>0</v>
      </c>
      <c r="N99" s="7">
        <f t="shared" si="66"/>
        <v>0</v>
      </c>
      <c r="O99" s="11">
        <f t="shared" si="52"/>
        <v>0</v>
      </c>
      <c r="P99" s="9"/>
      <c r="Q99" s="9">
        <v>16</v>
      </c>
      <c r="R99" s="7">
        <f t="shared" si="67"/>
        <v>0</v>
      </c>
      <c r="S99" s="7">
        <f t="shared" si="68"/>
        <v>2020</v>
      </c>
      <c r="T99" s="11">
        <f t="shared" si="53"/>
        <v>2020</v>
      </c>
      <c r="U99" s="9">
        <v>4.5</v>
      </c>
      <c r="V99" s="9">
        <v>7.5</v>
      </c>
      <c r="W99" s="7">
        <f t="shared" si="69"/>
        <v>280</v>
      </c>
      <c r="X99" s="7">
        <f t="shared" si="70"/>
        <v>950</v>
      </c>
      <c r="Y99" s="22">
        <f t="shared" si="54"/>
        <v>1230</v>
      </c>
      <c r="Z99" s="26">
        <f t="shared" si="71"/>
        <v>3250</v>
      </c>
      <c r="AA99" s="9"/>
      <c r="AB99" s="9"/>
      <c r="AC99" s="7">
        <f t="shared" si="72"/>
        <v>0</v>
      </c>
      <c r="AD99" s="7">
        <f t="shared" si="73"/>
        <v>0</v>
      </c>
      <c r="AE99" s="11">
        <f t="shared" si="55"/>
        <v>0</v>
      </c>
      <c r="AF99" s="9"/>
      <c r="AG99" s="9"/>
      <c r="AH99" s="7">
        <f t="shared" si="74"/>
        <v>0</v>
      </c>
      <c r="AI99" s="7">
        <f t="shared" si="75"/>
        <v>0</v>
      </c>
      <c r="AJ99" s="22">
        <f t="shared" si="56"/>
        <v>0</v>
      </c>
      <c r="AK99" s="26">
        <f t="shared" si="76"/>
        <v>0</v>
      </c>
      <c r="AL99" s="9"/>
      <c r="AM99" s="9"/>
      <c r="AN99" s="7">
        <f t="shared" si="77"/>
        <v>0</v>
      </c>
      <c r="AO99" s="7">
        <f t="shared" si="78"/>
        <v>0</v>
      </c>
      <c r="AP99" s="11">
        <f t="shared" si="57"/>
        <v>0</v>
      </c>
      <c r="AQ99" s="9"/>
      <c r="AR99" s="9"/>
      <c r="AS99" s="7">
        <f t="shared" si="79"/>
        <v>0</v>
      </c>
      <c r="AT99" s="7">
        <f t="shared" si="80"/>
        <v>0</v>
      </c>
      <c r="AU99" s="11">
        <f t="shared" si="58"/>
        <v>0</v>
      </c>
      <c r="AV99" s="9"/>
      <c r="AW99" s="9"/>
      <c r="AX99" s="7">
        <f t="shared" si="81"/>
        <v>0</v>
      </c>
      <c r="AY99" s="7">
        <f t="shared" si="82"/>
        <v>0</v>
      </c>
      <c r="AZ99" s="11">
        <f t="shared" si="59"/>
        <v>0</v>
      </c>
      <c r="BA99" s="9"/>
      <c r="BB99" s="9"/>
      <c r="BC99" s="7">
        <f t="shared" si="83"/>
        <v>0</v>
      </c>
      <c r="BD99" s="7">
        <f t="shared" si="84"/>
        <v>0</v>
      </c>
      <c r="BE99" s="11">
        <f t="shared" si="60"/>
        <v>0</v>
      </c>
      <c r="BF99" s="9"/>
      <c r="BG99" s="9"/>
      <c r="BH99" s="7">
        <f t="shared" si="85"/>
        <v>0</v>
      </c>
      <c r="BI99" s="7">
        <f t="shared" si="86"/>
        <v>0</v>
      </c>
      <c r="BJ99" s="11">
        <f t="shared" si="61"/>
        <v>0</v>
      </c>
      <c r="BK99" s="9"/>
      <c r="BL99" s="9"/>
      <c r="BM99" s="7">
        <f t="shared" si="87"/>
        <v>0</v>
      </c>
      <c r="BN99" s="7">
        <f t="shared" si="88"/>
        <v>0</v>
      </c>
      <c r="BO99" s="11">
        <f t="shared" si="62"/>
        <v>0</v>
      </c>
    </row>
    <row r="100" spans="1:67" x14ac:dyDescent="0.25">
      <c r="A100" t="s">
        <v>106</v>
      </c>
      <c r="B100" s="1">
        <v>1561</v>
      </c>
      <c r="C100">
        <v>230</v>
      </c>
      <c r="D100" s="7">
        <f t="shared" si="50"/>
        <v>1010</v>
      </c>
      <c r="E100" s="16"/>
      <c r="F100" s="19"/>
      <c r="G100" s="9"/>
      <c r="H100" s="7">
        <f t="shared" si="63"/>
        <v>0</v>
      </c>
      <c r="I100" s="7">
        <f t="shared" si="64"/>
        <v>0</v>
      </c>
      <c r="J100" s="11">
        <f t="shared" si="51"/>
        <v>0</v>
      </c>
      <c r="K100" s="9"/>
      <c r="L100" s="9"/>
      <c r="M100" s="7">
        <f t="shared" si="65"/>
        <v>0</v>
      </c>
      <c r="N100" s="7">
        <f t="shared" si="66"/>
        <v>0</v>
      </c>
      <c r="O100" s="11">
        <f t="shared" si="52"/>
        <v>0</v>
      </c>
      <c r="P100" s="9"/>
      <c r="Q100" s="9">
        <v>8</v>
      </c>
      <c r="R100" s="7">
        <f t="shared" si="67"/>
        <v>0</v>
      </c>
      <c r="S100" s="7">
        <f t="shared" si="68"/>
        <v>1010</v>
      </c>
      <c r="T100" s="11">
        <f t="shared" si="53"/>
        <v>1010</v>
      </c>
      <c r="U100" s="9"/>
      <c r="V100" s="9"/>
      <c r="W100" s="7">
        <f t="shared" si="69"/>
        <v>0</v>
      </c>
      <c r="X100" s="7">
        <f t="shared" si="70"/>
        <v>0</v>
      </c>
      <c r="Y100" s="22">
        <f t="shared" si="54"/>
        <v>0</v>
      </c>
      <c r="Z100" s="26">
        <f t="shared" si="71"/>
        <v>1010</v>
      </c>
      <c r="AA100" s="9"/>
      <c r="AB100" s="9"/>
      <c r="AC100" s="7">
        <f t="shared" si="72"/>
        <v>0</v>
      </c>
      <c r="AD100" s="7">
        <f t="shared" si="73"/>
        <v>0</v>
      </c>
      <c r="AE100" s="11">
        <f t="shared" si="55"/>
        <v>0</v>
      </c>
      <c r="AF100" s="9"/>
      <c r="AG100" s="9"/>
      <c r="AH100" s="7">
        <f t="shared" si="74"/>
        <v>0</v>
      </c>
      <c r="AI100" s="7">
        <f t="shared" si="75"/>
        <v>0</v>
      </c>
      <c r="AJ100" s="22">
        <f t="shared" si="56"/>
        <v>0</v>
      </c>
      <c r="AK100" s="26">
        <f t="shared" si="76"/>
        <v>0</v>
      </c>
      <c r="AL100" s="9"/>
      <c r="AM100" s="9"/>
      <c r="AN100" s="7">
        <f t="shared" si="77"/>
        <v>0</v>
      </c>
      <c r="AO100" s="7">
        <f t="shared" si="78"/>
        <v>0</v>
      </c>
      <c r="AP100" s="11">
        <f t="shared" si="57"/>
        <v>0</v>
      </c>
      <c r="AQ100" s="9"/>
      <c r="AR100" s="9"/>
      <c r="AS100" s="7">
        <f t="shared" si="79"/>
        <v>0</v>
      </c>
      <c r="AT100" s="7">
        <f t="shared" si="80"/>
        <v>0</v>
      </c>
      <c r="AU100" s="11">
        <f t="shared" si="58"/>
        <v>0</v>
      </c>
      <c r="AV100" s="9"/>
      <c r="AW100" s="9"/>
      <c r="AX100" s="7">
        <f t="shared" si="81"/>
        <v>0</v>
      </c>
      <c r="AY100" s="7">
        <f t="shared" si="82"/>
        <v>0</v>
      </c>
      <c r="AZ100" s="11">
        <f t="shared" si="59"/>
        <v>0</v>
      </c>
      <c r="BA100" s="9"/>
      <c r="BB100" s="9"/>
      <c r="BC100" s="7">
        <f t="shared" si="83"/>
        <v>0</v>
      </c>
      <c r="BD100" s="7">
        <f t="shared" si="84"/>
        <v>0</v>
      </c>
      <c r="BE100" s="11">
        <f t="shared" si="60"/>
        <v>0</v>
      </c>
      <c r="BF100" s="9"/>
      <c r="BG100" s="9"/>
      <c r="BH100" s="7">
        <f t="shared" si="85"/>
        <v>0</v>
      </c>
      <c r="BI100" s="7">
        <f t="shared" si="86"/>
        <v>0</v>
      </c>
      <c r="BJ100" s="11">
        <f t="shared" si="61"/>
        <v>0</v>
      </c>
      <c r="BK100" s="9"/>
      <c r="BL100" s="9"/>
      <c r="BM100" s="7">
        <f t="shared" si="87"/>
        <v>0</v>
      </c>
      <c r="BN100" s="7">
        <f t="shared" si="88"/>
        <v>0</v>
      </c>
      <c r="BO100" s="11">
        <f t="shared" si="62"/>
        <v>0</v>
      </c>
    </row>
    <row r="101" spans="1:67" x14ac:dyDescent="0.25">
      <c r="A101" t="s">
        <v>107</v>
      </c>
      <c r="B101" s="1">
        <v>1605</v>
      </c>
      <c r="C101">
        <v>200</v>
      </c>
      <c r="D101" s="7">
        <f t="shared" si="50"/>
        <v>440</v>
      </c>
      <c r="E101" s="16"/>
      <c r="F101" s="19"/>
      <c r="G101" s="9"/>
      <c r="H101" s="7">
        <f t="shared" si="63"/>
        <v>0</v>
      </c>
      <c r="I101" s="7">
        <f t="shared" si="64"/>
        <v>0</v>
      </c>
      <c r="J101" s="11">
        <f t="shared" si="51"/>
        <v>0</v>
      </c>
      <c r="K101" s="9"/>
      <c r="L101" s="9"/>
      <c r="M101" s="7">
        <f t="shared" si="65"/>
        <v>0</v>
      </c>
      <c r="N101" s="7">
        <f t="shared" si="66"/>
        <v>0</v>
      </c>
      <c r="O101" s="11">
        <f t="shared" si="52"/>
        <v>0</v>
      </c>
      <c r="P101" s="9"/>
      <c r="Q101" s="9"/>
      <c r="R101" s="7">
        <f t="shared" si="67"/>
        <v>0</v>
      </c>
      <c r="S101" s="7">
        <f t="shared" si="68"/>
        <v>0</v>
      </c>
      <c r="T101" s="11">
        <f t="shared" ref="T101:T102" si="89">ROUND(R101+S101,-1)</f>
        <v>0</v>
      </c>
      <c r="U101" s="9">
        <v>8</v>
      </c>
      <c r="V101" s="9"/>
      <c r="W101" s="7">
        <f t="shared" si="69"/>
        <v>440</v>
      </c>
      <c r="X101" s="7">
        <f t="shared" si="70"/>
        <v>0</v>
      </c>
      <c r="Y101" s="22">
        <f t="shared" ref="Y101:Y102" si="90">ROUND(W101+X101,-1)</f>
        <v>440</v>
      </c>
      <c r="Z101" s="26">
        <f t="shared" si="71"/>
        <v>440</v>
      </c>
      <c r="AA101" s="9"/>
      <c r="AB101" s="9"/>
      <c r="AC101" s="7">
        <f t="shared" si="72"/>
        <v>0</v>
      </c>
      <c r="AD101" s="7">
        <f t="shared" si="73"/>
        <v>0</v>
      </c>
      <c r="AE101" s="11">
        <f t="shared" ref="AE101:AE102" si="91">ROUND(AC101+AD101,-1)</f>
        <v>0</v>
      </c>
      <c r="AF101" s="9"/>
      <c r="AG101" s="9"/>
      <c r="AH101" s="7">
        <f t="shared" si="74"/>
        <v>0</v>
      </c>
      <c r="AI101" s="7">
        <f t="shared" si="75"/>
        <v>0</v>
      </c>
      <c r="AJ101" s="22">
        <f t="shared" ref="AJ101:AJ102" si="92">ROUND(AH101+AI101,-1)</f>
        <v>0</v>
      </c>
      <c r="AK101" s="26">
        <f t="shared" si="76"/>
        <v>0</v>
      </c>
      <c r="AL101" s="9"/>
      <c r="AM101" s="9"/>
      <c r="AN101" s="7">
        <f t="shared" si="77"/>
        <v>0</v>
      </c>
      <c r="AO101" s="7">
        <f t="shared" si="78"/>
        <v>0</v>
      </c>
      <c r="AP101" s="11">
        <f t="shared" ref="AP101:AP102" si="93">ROUND(AN101+AO101,-1)</f>
        <v>0</v>
      </c>
      <c r="AQ101" s="9"/>
      <c r="AR101" s="9"/>
      <c r="AS101" s="7">
        <f t="shared" si="79"/>
        <v>0</v>
      </c>
      <c r="AT101" s="7">
        <f t="shared" si="80"/>
        <v>0</v>
      </c>
      <c r="AU101" s="11">
        <f t="shared" ref="AU101:AU102" si="94">ROUND(AS101+AT101,-1)</f>
        <v>0</v>
      </c>
      <c r="AV101" s="9"/>
      <c r="AW101" s="9"/>
      <c r="AX101" s="7">
        <f t="shared" si="81"/>
        <v>0</v>
      </c>
      <c r="AY101" s="7">
        <f t="shared" si="82"/>
        <v>0</v>
      </c>
      <c r="AZ101" s="11">
        <f t="shared" ref="AZ101:AZ102" si="95">ROUND(AX101+AY101,-1)</f>
        <v>0</v>
      </c>
      <c r="BA101" s="9"/>
      <c r="BB101" s="9"/>
      <c r="BC101" s="7">
        <f t="shared" si="83"/>
        <v>0</v>
      </c>
      <c r="BD101" s="7">
        <f t="shared" si="84"/>
        <v>0</v>
      </c>
      <c r="BE101" s="11">
        <f t="shared" ref="BE101:BE102" si="96">ROUND(BC101+BD101,-1)</f>
        <v>0</v>
      </c>
      <c r="BF101" s="9"/>
      <c r="BG101" s="9"/>
      <c r="BH101" s="7">
        <f t="shared" si="85"/>
        <v>0</v>
      </c>
      <c r="BI101" s="7">
        <f t="shared" si="86"/>
        <v>0</v>
      </c>
      <c r="BJ101" s="11">
        <f t="shared" ref="BJ101:BJ102" si="97">ROUND(BH101+BI101,-1)</f>
        <v>0</v>
      </c>
      <c r="BK101" s="9"/>
      <c r="BL101" s="9"/>
      <c r="BM101" s="7">
        <f t="shared" si="87"/>
        <v>0</v>
      </c>
      <c r="BN101" s="7">
        <f t="shared" si="88"/>
        <v>0</v>
      </c>
      <c r="BO101" s="11">
        <f t="shared" ref="BO101:BO102" si="98">ROUND(BM101+BN101,-1)</f>
        <v>0</v>
      </c>
    </row>
    <row r="102" spans="1:67" x14ac:dyDescent="0.25">
      <c r="A102" t="s">
        <v>108</v>
      </c>
      <c r="B102" s="1">
        <v>1670</v>
      </c>
      <c r="C102">
        <v>200</v>
      </c>
      <c r="D102" s="7">
        <f t="shared" si="50"/>
        <v>330</v>
      </c>
      <c r="E102" s="16"/>
      <c r="F102" s="19"/>
      <c r="G102" s="9"/>
      <c r="H102" s="7">
        <f t="shared" si="63"/>
        <v>0</v>
      </c>
      <c r="I102" s="7">
        <f t="shared" si="64"/>
        <v>0</v>
      </c>
      <c r="J102" s="11">
        <f t="shared" si="51"/>
        <v>0</v>
      </c>
      <c r="K102" s="9"/>
      <c r="L102" s="9"/>
      <c r="M102" s="7">
        <f t="shared" si="65"/>
        <v>0</v>
      </c>
      <c r="N102" s="7">
        <f t="shared" si="66"/>
        <v>0</v>
      </c>
      <c r="O102" s="11">
        <f t="shared" si="52"/>
        <v>0</v>
      </c>
      <c r="P102" s="9"/>
      <c r="Q102" s="9"/>
      <c r="R102" s="7">
        <f t="shared" si="67"/>
        <v>0</v>
      </c>
      <c r="S102" s="7">
        <f t="shared" si="68"/>
        <v>0</v>
      </c>
      <c r="T102" s="11">
        <f t="shared" si="89"/>
        <v>0</v>
      </c>
      <c r="U102" s="9">
        <v>6</v>
      </c>
      <c r="V102" s="9"/>
      <c r="W102" s="7">
        <f t="shared" si="69"/>
        <v>330</v>
      </c>
      <c r="X102" s="7">
        <f t="shared" si="70"/>
        <v>0</v>
      </c>
      <c r="Y102" s="22">
        <f t="shared" si="90"/>
        <v>330</v>
      </c>
      <c r="Z102" s="26">
        <f t="shared" si="71"/>
        <v>330</v>
      </c>
      <c r="AA102" s="9"/>
      <c r="AB102" s="9"/>
      <c r="AC102" s="7">
        <f t="shared" si="72"/>
        <v>0</v>
      </c>
      <c r="AD102" s="7">
        <f t="shared" si="73"/>
        <v>0</v>
      </c>
      <c r="AE102" s="11">
        <f t="shared" si="91"/>
        <v>0</v>
      </c>
      <c r="AF102" s="9"/>
      <c r="AG102" s="9"/>
      <c r="AH102" s="7">
        <f t="shared" si="74"/>
        <v>0</v>
      </c>
      <c r="AI102" s="7">
        <f t="shared" si="75"/>
        <v>0</v>
      </c>
      <c r="AJ102" s="22">
        <f t="shared" si="92"/>
        <v>0</v>
      </c>
      <c r="AK102" s="26">
        <f t="shared" si="76"/>
        <v>0</v>
      </c>
      <c r="AL102" s="9"/>
      <c r="AM102" s="9"/>
      <c r="AN102" s="7">
        <f t="shared" si="77"/>
        <v>0</v>
      </c>
      <c r="AO102" s="7">
        <f t="shared" si="78"/>
        <v>0</v>
      </c>
      <c r="AP102" s="11">
        <f t="shared" si="93"/>
        <v>0</v>
      </c>
      <c r="AQ102" s="9"/>
      <c r="AR102" s="9"/>
      <c r="AS102" s="7">
        <f t="shared" si="79"/>
        <v>0</v>
      </c>
      <c r="AT102" s="7">
        <f t="shared" si="80"/>
        <v>0</v>
      </c>
      <c r="AU102" s="11">
        <f t="shared" si="94"/>
        <v>0</v>
      </c>
      <c r="AV102" s="9"/>
      <c r="AW102" s="9"/>
      <c r="AX102" s="7">
        <f t="shared" si="81"/>
        <v>0</v>
      </c>
      <c r="AY102" s="7">
        <f t="shared" si="82"/>
        <v>0</v>
      </c>
      <c r="AZ102" s="11">
        <f t="shared" si="95"/>
        <v>0</v>
      </c>
      <c r="BA102" s="9"/>
      <c r="BB102" s="9"/>
      <c r="BC102" s="7">
        <f t="shared" si="83"/>
        <v>0</v>
      </c>
      <c r="BD102" s="7">
        <f t="shared" si="84"/>
        <v>0</v>
      </c>
      <c r="BE102" s="11">
        <f t="shared" si="96"/>
        <v>0</v>
      </c>
      <c r="BF102" s="9"/>
      <c r="BG102" s="9"/>
      <c r="BH102" s="7">
        <f t="shared" si="85"/>
        <v>0</v>
      </c>
      <c r="BI102" s="7">
        <f t="shared" si="86"/>
        <v>0</v>
      </c>
      <c r="BJ102" s="11">
        <f t="shared" si="97"/>
        <v>0</v>
      </c>
      <c r="BK102" s="9"/>
      <c r="BL102" s="9"/>
      <c r="BM102" s="7">
        <f t="shared" si="87"/>
        <v>0</v>
      </c>
      <c r="BN102" s="7">
        <f t="shared" si="88"/>
        <v>0</v>
      </c>
      <c r="BO102" s="11">
        <f t="shared" si="98"/>
        <v>0</v>
      </c>
    </row>
    <row r="103" spans="1:67" x14ac:dyDescent="0.25">
      <c r="B103" s="1"/>
    </row>
    <row r="104" spans="1:67" x14ac:dyDescent="0.25">
      <c r="D104" s="20">
        <f>SUM(D4:D102)</f>
        <v>207810</v>
      </c>
      <c r="E104" s="21"/>
      <c r="T104" s="15">
        <f>SUM(T4:T102)</f>
        <v>113650</v>
      </c>
      <c r="Y104" s="24">
        <f>SUM(Y4:Y102)</f>
        <v>94160</v>
      </c>
      <c r="Z104" s="28"/>
    </row>
  </sheetData>
  <autoFilter ref="A1:C98" xr:uid="{00000000-0001-0000-0000-000000000000}"/>
  <sortState xmlns:xlrd2="http://schemas.microsoft.com/office/spreadsheetml/2017/richdata2" ref="A5:BO102">
    <sortCondition ref="A5:A102"/>
  </sortState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aplex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Lenka Podjuklová</dc:creator>
  <cp:lastModifiedBy>Lenka Podjuklová</cp:lastModifiedBy>
  <dcterms:created xsi:type="dcterms:W3CDTF">2025-04-02T08:04:01Z</dcterms:created>
  <dcterms:modified xsi:type="dcterms:W3CDTF">2025-06-03T04:46:46Z</dcterms:modified>
</cp:coreProperties>
</file>